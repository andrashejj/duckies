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3" autoFilterDateGrouping="1"/>
  </bookViews>
  <sheets>
    <sheet xmlns:r="http://schemas.openxmlformats.org/officeDocument/2006/relationships" name="Participants" sheetId="1" state="visible" r:id="rId1"/>
    <sheet xmlns:r="http://schemas.openxmlformats.org/officeDocument/2006/relationships" name="Helpers" sheetId="2" state="visible" r:id="rId2"/>
    <sheet xmlns:r="http://schemas.openxmlformats.org/officeDocument/2006/relationships" name="Notes &amp; open items" sheetId="3" state="visible" r:id="rId3"/>
    <sheet xmlns:r="http://schemas.openxmlformats.org/officeDocument/2006/relationships" name="Order list" sheetId="4" state="visible" r:id="rId4"/>
    <sheet xmlns:r="http://schemas.openxmlformats.org/officeDocument/2006/relationships" name="Shopping lis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&quot; MUR&quot;"/>
  </numFmts>
  <fonts count="2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color rgb="FFFFFFFF"/>
      <sz val="11"/>
    </font>
    <font>
      <name val="Cambria"/>
      <charset val="1"/>
      <family val="1"/>
      <b val="1"/>
      <sz val="11"/>
    </font>
    <font>
      <name val="Arial"/>
      <charset val="1"/>
      <family val="2"/>
      <sz val="10"/>
    </font>
    <font>
      <name val="Cambria"/>
      <charset val="1"/>
      <family val="0"/>
      <i val="1"/>
      <color rgb="FFC00000"/>
      <sz val="11"/>
    </font>
    <font>
      <name val="Arial"/>
      <charset val="1"/>
      <family val="2"/>
      <b val="1"/>
      <sz val="11"/>
    </font>
    <font>
      <name val="Arial"/>
      <charset val="1"/>
      <family val="2"/>
      <i val="1"/>
      <color rgb="FF666666"/>
      <sz val="9"/>
    </font>
    <font>
      <name val="Cambria"/>
      <charset val="1"/>
      <family val="1"/>
      <i val="1"/>
      <color rgb="FFC00000"/>
      <sz val="11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595959"/>
      <sz val="11"/>
    </font>
    <font>
      <name val="Cambria"/>
      <charset val="1"/>
      <family val="1"/>
      <b val="1"/>
      <sz val="14"/>
    </font>
    <font>
      <name val="Cambria"/>
      <charset val="1"/>
      <family val="1"/>
      <i val="1"/>
      <color rgb="FF595959"/>
      <sz val="11"/>
    </font>
    <font>
      <name val="Cambria"/>
      <charset val="1"/>
      <family val="1"/>
      <b val="1"/>
      <sz val="12"/>
    </font>
    <font>
      <b val="1"/>
    </font>
    <font>
      <b val="1"/>
      <sz val="14"/>
    </font>
    <font>
      <i val="1"/>
      <color rgb="00555555"/>
    </font>
    <font/>
  </fonts>
  <fills count="9">
    <fill>
      <patternFill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DCEFD8"/>
        <bgColor rgb="FFDDEBF7"/>
      </patternFill>
    </fill>
    <fill>
      <patternFill patternType="solid">
        <fgColor rgb="FFDDEBF7"/>
        <bgColor rgb="FFDCEFD8"/>
      </patternFill>
    </fill>
    <fill>
      <patternFill patternType="solid">
        <fgColor rgb="FFF2F2F2"/>
        <bgColor rgb="FFDDEBF7"/>
      </patternFill>
    </fill>
    <fill>
      <patternFill patternType="solid">
        <fgColor rgb="FFC6E0B4"/>
        <bgColor rgb="FFDCEFD8"/>
      </patternFill>
    </fill>
    <fill>
      <patternFill patternType="solid">
        <fgColor rgb="00DDDDDD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center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5" fillId="4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right" vertical="bottom"/>
    </xf>
    <xf numFmtId="0" fontId="5" fillId="5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right" vertical="bottom"/>
    </xf>
    <xf numFmtId="0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right" vertical="bottom"/>
    </xf>
    <xf numFmtId="164" fontId="0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right" vertical="bottom"/>
    </xf>
    <xf numFmtId="164" fontId="14" fillId="0" borderId="1" applyAlignment="1" pivotButton="0" quotePrefix="0" xfId="0">
      <alignment horizontal="general" vertical="bottom"/>
    </xf>
    <xf numFmtId="0" fontId="15" fillId="6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right" vertical="bottom"/>
    </xf>
    <xf numFmtId="164" fontId="15" fillId="6" borderId="1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center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bottom"/>
    </xf>
    <xf numFmtId="0" fontId="16" fillId="0" borderId="0" pivotButton="0" quotePrefix="0" xfId="0"/>
    <xf numFmtId="0" fontId="16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5" fillId="4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right" vertical="bottom"/>
    </xf>
    <xf numFmtId="0" fontId="5" fillId="5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right" vertical="bottom"/>
    </xf>
    <xf numFmtId="0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right" vertical="bottom"/>
    </xf>
    <xf numFmtId="164" fontId="0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right" vertical="bottom"/>
    </xf>
    <xf numFmtId="164" fontId="14" fillId="0" borderId="1" applyAlignment="1" pivotButton="0" quotePrefix="0" xfId="0">
      <alignment horizontal="general" vertical="bottom"/>
    </xf>
    <xf numFmtId="0" fontId="15" fillId="6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right" vertical="bottom"/>
    </xf>
    <xf numFmtId="164" fontId="15" fillId="6" borderId="1" applyAlignment="1" pivotButton="0" quotePrefix="0" xfId="0">
      <alignment horizontal="general" vertical="bottom"/>
    </xf>
    <xf numFmtId="0" fontId="17" fillId="0" borderId="0" pivotButton="0" quotePrefix="0" xfId="0"/>
    <xf numFmtId="0" fontId="18" fillId="0" borderId="0" pivotButton="0" quotePrefix="0" xfId="0"/>
    <xf numFmtId="0" fontId="16" fillId="7" borderId="2" applyAlignment="1" pivotButton="0" quotePrefix="0" xfId="0">
      <alignment horizontal="left"/>
    </xf>
    <xf numFmtId="0" fontId="16" fillId="8" borderId="0" pivotButton="0" quotePrefix="0" xfId="0"/>
    <xf numFmtId="0" fontId="19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6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FD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C1" activeCellId="0" sqref="C1"/>
    </sheetView>
  </sheetViews>
  <sheetFormatPr baseColWidth="8" defaultColWidth="8.66796875" defaultRowHeight="15" customHeight="0" zeroHeight="0" outlineLevelRow="0"/>
  <cols>
    <col width="4.5" customWidth="1" style="37" min="1" max="1"/>
    <col width="17.83" customWidth="1" style="37" min="2" max="2"/>
    <col width="4.67" customWidth="1" style="37" min="3" max="3"/>
    <col width="9.33" customWidth="1" style="37" min="4" max="4"/>
    <col width="25" customWidth="1" style="37" min="5" max="5"/>
    <col width="40.83" customWidth="1" style="37" min="6" max="6"/>
    <col width="14.33" customWidth="1" style="37" min="7" max="7"/>
    <col width="10.16" customWidth="1" style="37" min="8" max="8"/>
    <col width="13.5" customWidth="1" style="37" min="9" max="9"/>
    <col width="157.83" customWidth="1" style="37" min="10" max="10"/>
    <col width="22" customWidth="1" style="37" min="11" max="11"/>
  </cols>
  <sheetData>
    <row r="1" ht="26.25" customHeight="1" s="38">
      <c r="A1" s="39" t="inlineStr">
        <is>
          <t>#</t>
        </is>
      </c>
      <c r="B1" s="39" t="inlineStr">
        <is>
          <t>Name</t>
        </is>
      </c>
      <c r="C1" s="39" t="inlineStr">
        <is>
          <t>Age</t>
        </is>
      </c>
      <c r="D1" s="39" t="inlineStr">
        <is>
          <t>Surf level</t>
        </is>
      </c>
      <c r="E1" s="39" t="inlineStr">
        <is>
          <t>Parent / guardian</t>
        </is>
      </c>
      <c r="F1" s="39" t="inlineStr">
        <is>
          <t>Contact (phone / email)</t>
        </is>
      </c>
      <c r="G1" s="39" t="inlineStr">
        <is>
          <t>Heat / category</t>
        </is>
      </c>
      <c r="H1" s="39" t="inlineStr">
        <is>
          <t>Entry paid</t>
        </is>
      </c>
      <c r="I1" s="39" t="inlineStr">
        <is>
          <t>Waiver signed</t>
        </is>
      </c>
      <c r="J1" s="39" t="inlineStr">
        <is>
          <t>Notes</t>
        </is>
      </c>
      <c r="K1" s="40" t="inlineStr">
        <is>
          <t>Shirt size (Kostumisé)</t>
        </is>
      </c>
    </row>
    <row r="2" ht="23.25" customHeight="1" s="38">
      <c r="A2" s="50" t="n">
        <v>1</v>
      </c>
      <c r="B2" s="50" t="inlineStr">
        <is>
          <t>Alek Niescierowicz</t>
        </is>
      </c>
      <c r="C2" s="50" t="n">
        <v>7</v>
      </c>
      <c r="D2" s="50" t="inlineStr">
        <is>
          <t>Cheerleader</t>
        </is>
      </c>
      <c r="E2" s="50" t="inlineStr">
        <is>
          <t>Justyna Niescierowicz (mother)</t>
        </is>
      </c>
      <c r="F2" s="50" t="inlineStr">
        <is>
          <t>700 25 775 · justyna.niescierowicz@gmail.com</t>
        </is>
      </c>
      <c r="G2" s="50" t="n"/>
      <c r="H2" s="50" t="inlineStr">
        <is>
          <t>Yes</t>
        </is>
      </c>
      <c r="I2" s="50" t="inlineStr">
        <is>
          <t>Yes</t>
        </is>
      </c>
      <c r="J2" s="42" t="inlineStr">
        <is>
          <t>T-shirt XL · Loaner board · No allergies · Photo OK · Parent heat: no · Emergency: Adam 700 62 855 · Note: form annotation 'Ali is not surfing — will be in cheerleader division'. XL ticked despite age 7 — confirm size with Justyna. Waiver consent box ticked on reg form (no separate waiver file). · XL ticked despite age 7 — confirm with Justyna</t>
        </is>
      </c>
      <c r="K2" s="37" t="inlineStr">
        <is>
          <t>12</t>
        </is>
      </c>
    </row>
    <row r="3" ht="15" customHeight="1" s="38">
      <c r="A3" s="50" t="n">
        <v>2</v>
      </c>
      <c r="B3" s="50" t="inlineStr">
        <is>
          <t>Alysia Klein</t>
        </is>
      </c>
      <c r="C3" s="50" t="n">
        <v>10</v>
      </c>
      <c r="D3" s="50" t="inlineStr">
        <is>
          <t>Duckling</t>
        </is>
      </c>
      <c r="E3" s="50" t="inlineStr">
        <is>
          <t>Peter Klein (father)</t>
        </is>
      </c>
      <c r="F3" s="50" t="inlineStr">
        <is>
          <t>70467181 · peterk_6@hotmail.com</t>
        </is>
      </c>
      <c r="G3" s="50" t="n"/>
      <c r="H3" s="50" t="inlineStr">
        <is>
          <t>Yes</t>
        </is>
      </c>
      <c r="I3" s="50" t="inlineStr">
        <is>
          <t>Yes</t>
        </is>
      </c>
      <c r="J3" s="42" t="inlineStr">
        <is>
          <t>T-shirt L · Loaner board · No allergies · Photo OK · Parent heat: no · Emergency: Ophelie Braga 70467166</t>
        </is>
      </c>
      <c r="K3" s="37" t="inlineStr">
        <is>
          <t>10</t>
        </is>
      </c>
    </row>
    <row r="4" ht="15" customHeight="1" s="38">
      <c r="A4" s="50" t="n">
        <v>3</v>
      </c>
      <c r="B4" s="50" t="inlineStr">
        <is>
          <t>Elijah Bear Tyler</t>
        </is>
      </c>
      <c r="C4" s="50" t="n">
        <v>9</v>
      </c>
      <c r="D4" s="50" t="inlineStr">
        <is>
          <t>Duck</t>
        </is>
      </c>
      <c r="E4" s="50" t="inlineStr">
        <is>
          <t>Kyrah Ashe Tyler (mother)</t>
        </is>
      </c>
      <c r="F4" s="50" t="inlineStr">
        <is>
          <t>5775 9547 · kyrah@grevensmedi.co.za</t>
        </is>
      </c>
      <c r="G4" s="50" t="n"/>
      <c r="H4" s="50" t="inlineStr">
        <is>
          <t>No</t>
        </is>
      </c>
      <c r="I4" s="50" t="inlineStr">
        <is>
          <t>Yes</t>
        </is>
      </c>
      <c r="J4" s="42" t="inlineStr">
        <is>
          <t>T-shirt XL · Own board · No allergies · Photo OK · Parent heat: yes · Emergency: Seb 5255 3322</t>
        </is>
      </c>
      <c r="K4" s="37" t="inlineStr">
        <is>
          <t>12</t>
        </is>
      </c>
    </row>
    <row r="5" ht="15" customHeight="1" s="38">
      <c r="A5" s="50" t="n">
        <v>4</v>
      </c>
      <c r="B5" s="50" t="inlineStr">
        <is>
          <t>Ella Klein</t>
        </is>
      </c>
      <c r="C5" s="50" t="n">
        <v>8</v>
      </c>
      <c r="D5" s="50" t="inlineStr">
        <is>
          <t>Duckling</t>
        </is>
      </c>
      <c r="E5" s="50" t="inlineStr">
        <is>
          <t>Peter Klein (father)</t>
        </is>
      </c>
      <c r="F5" s="50" t="inlineStr">
        <is>
          <t>70467181 · peterk_6@hotmail.com</t>
        </is>
      </c>
      <c r="G5" s="50" t="n"/>
      <c r="H5" s="50" t="inlineStr">
        <is>
          <t>Yes</t>
        </is>
      </c>
      <c r="I5" s="50" t="inlineStr">
        <is>
          <t>Yes</t>
        </is>
      </c>
      <c r="J5" s="42" t="inlineStr">
        <is>
          <t>T-shirt M · Loaner board · Vegetarian (does not eat meat) · Photo OK · Parent heat: no · Emergency: Ophelie Braga 70467166</t>
        </is>
      </c>
      <c r="K5" s="37" t="inlineStr">
        <is>
          <t>8</t>
        </is>
      </c>
    </row>
    <row r="6" ht="15" customHeight="1" s="38">
      <c r="A6" s="50" t="n">
        <v>5</v>
      </c>
      <c r="B6" s="50" t="inlineStr">
        <is>
          <t>Emma-Jayne Vlok</t>
        </is>
      </c>
      <c r="C6" s="50" t="n">
        <v>10</v>
      </c>
      <c r="D6" s="50" t="inlineStr">
        <is>
          <t>Duck</t>
        </is>
      </c>
      <c r="E6" s="50" t="inlineStr">
        <is>
          <t>Theola Vlok (mother)</t>
        </is>
      </c>
      <c r="F6" s="50" t="inlineStr">
        <is>
          <t>5977 6564 · theolav82@gmail.com</t>
        </is>
      </c>
      <c r="G6" s="50" t="n"/>
      <c r="H6" s="50" t="inlineStr">
        <is>
          <t>No</t>
        </is>
      </c>
      <c r="I6" s="50" t="inlineStr">
        <is>
          <t>Yes</t>
        </is>
      </c>
      <c r="J6" s="42" t="inlineStr">
        <is>
          <t>T-shirt XL · Own board · No allergies · Photos: WhatsApp + website only — NO social media · Parent heat: yes · Emergency: Steve 5491 6850</t>
        </is>
      </c>
      <c r="K6" s="37" t="inlineStr">
        <is>
          <t>12</t>
        </is>
      </c>
    </row>
    <row r="7" ht="15" customHeight="1" s="38">
      <c r="A7" s="50" t="n">
        <v>6</v>
      </c>
      <c r="B7" s="50" t="inlineStr">
        <is>
          <t>Ezrah Wild Tyler</t>
        </is>
      </c>
      <c r="C7" s="50" t="n">
        <v>6</v>
      </c>
      <c r="D7" s="50" t="inlineStr">
        <is>
          <t>Duckling</t>
        </is>
      </c>
      <c r="E7" s="50" t="inlineStr">
        <is>
          <t>Kyrah Ashe Tyler (mother)</t>
        </is>
      </c>
      <c r="F7" s="50" t="inlineStr">
        <is>
          <t>5775 9547 · kyrah@grevensmedi.co.za</t>
        </is>
      </c>
      <c r="G7" s="50" t="n"/>
      <c r="H7" s="50" t="inlineStr">
        <is>
          <t>No</t>
        </is>
      </c>
      <c r="I7" s="50" t="inlineStr">
        <is>
          <t>Yes</t>
        </is>
      </c>
      <c r="J7" s="42" t="inlineStr">
        <is>
          <t>T-shirt M · Own board · No allergies (nil known) · Photo OK · Parent heat: yes · Emergency: Seb 5255 3322</t>
        </is>
      </c>
      <c r="K7" s="37" t="inlineStr">
        <is>
          <t>8</t>
        </is>
      </c>
    </row>
    <row r="8" ht="15" customHeight="1" s="38">
      <c r="A8" s="50" t="n">
        <v>7</v>
      </c>
      <c r="B8" s="50" t="inlineStr">
        <is>
          <t>Holly St Guillaume</t>
        </is>
      </c>
      <c r="C8" s="50" t="n">
        <v>11</v>
      </c>
      <c r="D8" s="50" t="inlineStr">
        <is>
          <t>Duck</t>
        </is>
      </c>
      <c r="E8" s="50" t="inlineStr">
        <is>
          <t>Trinity St Guillaume</t>
        </is>
      </c>
      <c r="F8" s="50" t="inlineStr">
        <is>
          <t>70104746 · trinitylauren93@gmail.com</t>
        </is>
      </c>
      <c r="G8" s="50" t="n"/>
      <c r="H8" s="50" t="inlineStr">
        <is>
          <t>Yes</t>
        </is>
      </c>
      <c r="I8" s="50" t="inlineStr">
        <is>
          <t>Yes</t>
        </is>
      </c>
      <c r="J8" s="42" t="inlineStr">
        <is>
          <t>T-shirt L · Own board · Celiac disease (gluten-free) · Photo OK · Parent heat: no · Emergency: Jean-pierre 7014444 (grandparent) · Bumped from 10 → 12: age 11 sits above ticked L (9-10)</t>
        </is>
      </c>
      <c r="K8" s="37" t="inlineStr">
        <is>
          <t>12</t>
        </is>
      </c>
    </row>
    <row r="9" ht="27.75" customHeight="1" s="38">
      <c r="A9" s="50" t="n">
        <v>8</v>
      </c>
      <c r="B9" s="50" t="inlineStr">
        <is>
          <t>Josua Nel</t>
        </is>
      </c>
      <c r="C9" s="50" t="n">
        <v>12</v>
      </c>
      <c r="D9" s="50" t="inlineStr">
        <is>
          <t>Duck</t>
        </is>
      </c>
      <c r="E9" s="50" t="inlineStr">
        <is>
          <t>Karissa Nel (mother)</t>
        </is>
      </c>
      <c r="F9" s="50" t="inlineStr">
        <is>
          <t>58424945 · +27845833770 · karissa.nel@gmail.com</t>
        </is>
      </c>
      <c r="G9" s="50" t="n"/>
      <c r="H9" s="50" t="inlineStr">
        <is>
          <t>No</t>
        </is>
      </c>
      <c r="I9" s="50" t="inlineStr">
        <is>
          <t>Yes</t>
        </is>
      </c>
      <c r="J9" s="42" t="inlineStr">
        <is>
          <t>T-shirt XL · Own board · No allergies · Photo OK · Parent heat: no · Emergency: Wikus Nel 58424897 · +27834103430</t>
        </is>
      </c>
      <c r="K9" s="37" t="inlineStr">
        <is>
          <t>12</t>
        </is>
      </c>
    </row>
    <row r="10" ht="27.75" customHeight="1" s="38">
      <c r="A10" s="50" t="n">
        <v>9</v>
      </c>
      <c r="B10" s="50" t="inlineStr">
        <is>
          <t>Karia Nel</t>
        </is>
      </c>
      <c r="C10" s="50" t="n">
        <v>14</v>
      </c>
      <c r="D10" s="50" t="inlineStr">
        <is>
          <t>Duck</t>
        </is>
      </c>
      <c r="E10" s="50" t="inlineStr">
        <is>
          <t>Karissa Nel (mother)</t>
        </is>
      </c>
      <c r="F10" s="50" t="inlineStr">
        <is>
          <t>58424945 · +27845833770 · karissa.nel@gmail.com</t>
        </is>
      </c>
      <c r="G10" s="50" t="n"/>
      <c r="H10" s="50" t="inlineStr">
        <is>
          <t>No</t>
        </is>
      </c>
      <c r="I10" s="50" t="inlineStr">
        <is>
          <t>Yes</t>
        </is>
      </c>
      <c r="J10" s="42" t="inlineStr">
        <is>
          <t>T-shirt: none ticked, requests adult SMALL if available · Loaner board · No allergies · Photo OK · Parent heat: no · Emergency: Wikus Nel 58424897 · Adult S requested; mapped to Kostumisé 14 (chart top)</t>
        </is>
      </c>
      <c r="K10" s="37" t="inlineStr">
        <is>
          <t>14</t>
        </is>
      </c>
    </row>
    <row r="11" ht="15" customHeight="1" s="38">
      <c r="A11" s="50" t="n">
        <v>10</v>
      </c>
      <c r="B11" s="50" t="inlineStr">
        <is>
          <t>Leonie Basu</t>
        </is>
      </c>
      <c r="C11" s="50" t="n">
        <v>8</v>
      </c>
      <c r="D11" s="50" t="inlineStr">
        <is>
          <t>Duckling</t>
        </is>
      </c>
      <c r="E11" s="50" t="inlineStr">
        <is>
          <t>Anaïs Basu (mother)</t>
        </is>
      </c>
      <c r="F11" s="50" t="inlineStr">
        <is>
          <t>57597274 · anaispiat@gmail.com</t>
        </is>
      </c>
      <c r="G11" s="50" t="n"/>
      <c r="H11" s="50" t="inlineStr">
        <is>
          <t>Yes</t>
        </is>
      </c>
      <c r="I11" s="50" t="inlineStr">
        <is>
          <t>Yes</t>
        </is>
      </c>
      <c r="J11" s="42" t="inlineStr">
        <is>
          <t>T-shirt M · Own board · No allergies · Photo OK · Parent heat: no · Emergency: Abhishek 57597297 · Waiver consent box ticked on reg form (no separate waiver file).</t>
        </is>
      </c>
      <c r="K11" s="37" t="inlineStr">
        <is>
          <t>8</t>
        </is>
      </c>
    </row>
    <row r="12" ht="27.75" customHeight="1" s="38">
      <c r="A12" s="50" t="n">
        <v>11</v>
      </c>
      <c r="B12" s="50" t="inlineStr">
        <is>
          <t>Marc-Emmanuel Vlok</t>
        </is>
      </c>
      <c r="C12" s="50" t="n">
        <v>7</v>
      </c>
      <c r="D12" s="50" t="inlineStr">
        <is>
          <t>Duckling</t>
        </is>
      </c>
      <c r="E12" s="50" t="inlineStr">
        <is>
          <t>Theola Vlok (mother)</t>
        </is>
      </c>
      <c r="F12" s="50" t="inlineStr">
        <is>
          <t>5977 6564 · theolav82@gmail.com</t>
        </is>
      </c>
      <c r="G12" s="50" t="n"/>
      <c r="H12" s="50" t="inlineStr">
        <is>
          <t>No</t>
        </is>
      </c>
      <c r="I12" s="50" t="inlineStr">
        <is>
          <t>Yes</t>
        </is>
      </c>
      <c r="J12" s="42" t="inlineStr">
        <is>
          <t>T-shirt S · Loaner board · No allergies · Photos: WhatsApp + website only — NO social media · Parent heat: yes · Emergency: Steve 5491 6850 · Note: form signs as 'Marc-Emmanuel' (filename uses 'Mark') · Bumped from 6 → 8: age 7 sits above ticked S (5-6)</t>
        </is>
      </c>
      <c r="K12" s="37" t="inlineStr">
        <is>
          <t>8</t>
        </is>
      </c>
    </row>
    <row r="13" ht="15" customHeight="1" s="38">
      <c r="A13" s="50" t="n">
        <v>12</v>
      </c>
      <c r="B13" s="50" t="inlineStr">
        <is>
          <t>Robyn Raye</t>
        </is>
      </c>
      <c r="C13" s="50" t="n">
        <v>4</v>
      </c>
      <c r="D13" s="50" t="inlineStr">
        <is>
          <t>Duckling</t>
        </is>
      </c>
      <c r="E13" s="50" t="inlineStr">
        <is>
          <t>Mark</t>
        </is>
      </c>
      <c r="F13" s="50" t="inlineStr">
        <is>
          <t>59316734 · mark@inaura.co.za</t>
        </is>
      </c>
      <c r="G13" s="50" t="n"/>
      <c r="H13" s="50" t="inlineStr">
        <is>
          <t>Yes</t>
        </is>
      </c>
      <c r="I13" s="50" t="inlineStr">
        <is>
          <t>Yes</t>
        </is>
      </c>
      <c r="J13" s="42" t="inlineStr">
        <is>
          <t>T-shirt S · Own board · No allergies · Photo OK · Parent heat: yes · Emergency contact not filled</t>
        </is>
      </c>
      <c r="K13" s="37" t="inlineStr">
        <is>
          <t>6</t>
        </is>
      </c>
    </row>
    <row r="14" ht="23.25" customHeight="1" s="38">
      <c r="A14" s="50" t="n">
        <v>13</v>
      </c>
      <c r="B14" s="50" t="inlineStr">
        <is>
          <t>Shanay Basu</t>
        </is>
      </c>
      <c r="C14" s="50" t="n">
        <v>11</v>
      </c>
      <c r="D14" s="50" t="inlineStr">
        <is>
          <t>Duckling</t>
        </is>
      </c>
      <c r="E14" s="50" t="inlineStr">
        <is>
          <t>Anaïs Basu (mother)</t>
        </is>
      </c>
      <c r="F14" s="50" t="inlineStr">
        <is>
          <t>57597274 · anaispiat@gmail.com</t>
        </is>
      </c>
      <c r="G14" s="50" t="n"/>
      <c r="H14" s="50" t="inlineStr">
        <is>
          <t>Yes</t>
        </is>
      </c>
      <c r="I14" s="50" t="inlineStr">
        <is>
          <t>Yes</t>
        </is>
      </c>
      <c r="J14" s="42" t="inlineStr">
        <is>
          <t>T-shirt XL · Own board · No allergies · Photo OK · Parent heat: no · Emergency: Abhishek 57597297 · Note: Duckling ticked at age 11 — confirm division with Anaïs. Waiver consent box ticked on reg form (no separate waiver file).</t>
        </is>
      </c>
      <c r="K14" s="37" t="inlineStr">
        <is>
          <t>12</t>
        </is>
      </c>
    </row>
    <row r="15" ht="15" customHeight="1" s="38">
      <c r="A15" s="50" t="n">
        <v>14</v>
      </c>
      <c r="B15" s="50" t="inlineStr">
        <is>
          <t>Skye Bax De Keating</t>
        </is>
      </c>
      <c r="C15" s="50" t="n">
        <v>11</v>
      </c>
      <c r="D15" s="50" t="inlineStr">
        <is>
          <t>Duck</t>
        </is>
      </c>
      <c r="E15" s="50" t="inlineStr">
        <is>
          <t>Kyrah Ashe Tyler (mother)</t>
        </is>
      </c>
      <c r="F15" s="50" t="inlineStr">
        <is>
          <t>5775 9547 · kyrah@grevensmedi.co.za</t>
        </is>
      </c>
      <c r="G15" s="50" t="n"/>
      <c r="H15" s="50" t="inlineStr">
        <is>
          <t>No</t>
        </is>
      </c>
      <c r="I15" s="50" t="inlineStr">
        <is>
          <t>Yes</t>
        </is>
      </c>
      <c r="J15" s="42" t="inlineStr">
        <is>
          <t>T-shirt XL · Own board · No allergies (nil known) · Photo OK · Parent heat: yes · Emergency: Seb 5255 3322</t>
        </is>
      </c>
      <c r="K15" s="37" t="inlineStr">
        <is>
          <t>12</t>
        </is>
      </c>
    </row>
    <row r="16" ht="15" customHeight="1" s="38">
      <c r="A16" s="50" t="n">
        <v>15</v>
      </c>
      <c r="B16" s="50" t="inlineStr">
        <is>
          <t>Taylor Raye</t>
        </is>
      </c>
      <c r="C16" s="50" t="n">
        <v>6</v>
      </c>
      <c r="D16" s="50" t="inlineStr">
        <is>
          <t>Duckling</t>
        </is>
      </c>
      <c r="E16" s="50" t="inlineStr">
        <is>
          <t>Mark</t>
        </is>
      </c>
      <c r="F16" s="50" t="inlineStr">
        <is>
          <t>59316734 · mark@inaura.co.za</t>
        </is>
      </c>
      <c r="G16" s="50" t="n"/>
      <c r="H16" s="50" t="inlineStr">
        <is>
          <t>Yes</t>
        </is>
      </c>
      <c r="I16" s="50" t="inlineStr">
        <is>
          <t>Yes</t>
        </is>
      </c>
      <c r="J16" s="42" t="inlineStr">
        <is>
          <t>T-shirt M · Own board · No allergies · Photo OK · Parent heat: yes · Emergency contact not filled</t>
        </is>
      </c>
      <c r="K16" s="37" t="inlineStr">
        <is>
          <t>8</t>
        </is>
      </c>
    </row>
    <row r="17" ht="23.25" customHeight="1" s="38">
      <c r="A17" s="50" t="n">
        <v>16</v>
      </c>
      <c r="B17" s="50" t="inlineStr">
        <is>
          <t>Teo Niescierowicz</t>
        </is>
      </c>
      <c r="C17" s="50" t="n">
        <v>9</v>
      </c>
      <c r="D17" s="50" t="inlineStr">
        <is>
          <t>Duck</t>
        </is>
      </c>
      <c r="E17" s="50" t="inlineStr">
        <is>
          <t>Justyna Niescierowicz (mother)</t>
        </is>
      </c>
      <c r="F17" s="50" t="inlineStr">
        <is>
          <t>700 25 775 · justyna.niescierowicz@gmail.com</t>
        </is>
      </c>
      <c r="G17" s="50" t="n"/>
      <c r="H17" s="50" t="inlineStr">
        <is>
          <t>Yes</t>
        </is>
      </c>
      <c r="I17" s="50" t="inlineStr">
        <is>
          <t>Yes</t>
        </is>
      </c>
      <c r="J17" s="42" t="inlineStr">
        <is>
          <t>T-shirt XL · Own board · No allergies · Photo OK · Parent heat: no · Emergency: Adam 700 62 855 · Waiver consent box ticked on reg form (no separate waiver file)</t>
        </is>
      </c>
      <c r="K17" s="37" t="inlineStr">
        <is>
          <t>12</t>
        </is>
      </c>
    </row>
    <row r="18" ht="15" customHeight="1" s="38">
      <c r="A18" s="50" t="n">
        <v>17</v>
      </c>
      <c r="B18" s="50" t="inlineStr">
        <is>
          <t>Jaxon Webb</t>
        </is>
      </c>
      <c r="C18" s="50" t="n">
        <v>8</v>
      </c>
      <c r="D18" s="50" t="inlineStr">
        <is>
          <t>Duck</t>
        </is>
      </c>
      <c r="E18" s="50" t="inlineStr">
        <is>
          <t>Tracy Loumeau (mother) · Pete (father)</t>
        </is>
      </c>
      <c r="F18" s="50" t="inlineStr">
        <is>
          <t>54890928 (Tracy) · 54890916 (Pete)</t>
        </is>
      </c>
      <c r="G18" s="50" t="n"/>
      <c r="H18" s="50" t="inlineStr">
        <is>
          <t>Yes</t>
        </is>
      </c>
      <c r="I18" s="50" t="inlineStr">
        <is>
          <t>Yes</t>
        </is>
      </c>
      <c r="J18" s="43" t="inlineStr">
        <is>
          <t>T-shirt M (7-8) → size 8 · Own board · No allergies / medical · Photo OK · Parent heat: Hard no · DOB 2017-09-21 · Signed 25 May 2026; reg form dated 25 May 2026 · Email not provided · Reg form emergency contact field left blank — Pete (father) acts as second contact. Tracy is also offering helper hands (see Helpers tab).</t>
        </is>
      </c>
      <c r="K18" s="37" t="inlineStr">
        <is>
          <t>8</t>
        </is>
      </c>
    </row>
    <row r="19" ht="15" customHeight="1" s="38">
      <c r="A19" s="50" t="n">
        <v>18</v>
      </c>
      <c r="B19" s="50" t="inlineStr">
        <is>
          <t>Lara Hejj</t>
        </is>
      </c>
      <c r="C19" s="50" t="n">
        <v>6</v>
      </c>
      <c r="D19" s="50" t="inlineStr">
        <is>
          <t>Duckling</t>
        </is>
      </c>
      <c r="E19" s="50" t="inlineStr">
        <is>
          <t>Andras Hejj (parent)</t>
        </is>
      </c>
      <c r="F19" s="50" t="inlineStr">
        <is>
          <t>andras@motifapp.ai</t>
        </is>
      </c>
      <c r="G19" s="50" t="n"/>
      <c r="H19" s="50" t="n"/>
      <c r="I19" s="50" t="n"/>
      <c r="J19" s="50" t="inlineStr">
        <is>
          <t>Late entry added 30 May 2026 to match heat draw. Confirm: entry paid, waiver, shirt size, emergency contact, photo consent.</t>
        </is>
      </c>
    </row>
    <row r="20" ht="15" customHeight="1" s="38">
      <c r="A20" s="50" t="n">
        <v>19</v>
      </c>
      <c r="B20" s="50" t="inlineStr">
        <is>
          <t>Noah Hejj</t>
        </is>
      </c>
      <c r="C20" s="50" t="n">
        <v>9</v>
      </c>
      <c r="D20" s="50" t="inlineStr">
        <is>
          <t>Duck</t>
        </is>
      </c>
      <c r="E20" s="50" t="inlineStr">
        <is>
          <t>Andras Hejj (parent)</t>
        </is>
      </c>
      <c r="F20" s="50" t="inlineStr">
        <is>
          <t>andras@motifapp.ai</t>
        </is>
      </c>
      <c r="G20" s="50" t="n"/>
      <c r="H20" s="50" t="n"/>
      <c r="I20" s="50" t="n"/>
      <c r="J20" s="50" t="inlineStr">
        <is>
          <t>Late entry added 30 May 2026 to match heat draw. Confirm: entry paid, waiver, shirt size, emergency contact, photo consent.</t>
        </is>
      </c>
    </row>
    <row r="21" ht="15" customHeight="1" s="38">
      <c r="A21" s="50" t="n">
        <v>20</v>
      </c>
      <c r="B21" s="50" t="inlineStr">
        <is>
          <t>Mats</t>
        </is>
      </c>
      <c r="C21" s="50" t="n">
        <v>9</v>
      </c>
      <c r="D21" s="50" t="inlineStr">
        <is>
          <t>Duckling</t>
        </is>
      </c>
      <c r="E21" s="50" t="n"/>
      <c r="F21" s="50" t="n"/>
      <c r="G21" s="50" t="n"/>
      <c r="H21" s="50" t="n"/>
      <c r="I21" s="50" t="n"/>
      <c r="J21" s="50" t="inlineStr">
        <is>
          <t>Late entry added 30 May 2026 to match heat draw. Confirm: surname, parent/guardian, contact, entry paid, waiver, shirt size, emergency contact, photo consent.</t>
        </is>
      </c>
    </row>
    <row r="22" ht="15" customHeight="1" s="38">
      <c r="A22" s="50" t="n">
        <v>21</v>
      </c>
      <c r="B22" s="50" t="inlineStr">
        <is>
          <t>Maud</t>
        </is>
      </c>
      <c r="C22" s="50" t="n">
        <v>7</v>
      </c>
      <c r="D22" s="50" t="inlineStr">
        <is>
          <t>Duckling</t>
        </is>
      </c>
      <c r="E22" s="50" t="n"/>
      <c r="F22" s="50" t="n"/>
      <c r="G22" s="50" t="n"/>
      <c r="H22" s="50" t="n"/>
      <c r="I22" s="50" t="n"/>
      <c r="J22" s="50" t="inlineStr">
        <is>
          <t>Late entry added 30 May 2026 to match heat draw. Confirm: surname, parent/guardian, contact, entry paid, waiver, shirt size, emergency contact, photo consent.</t>
        </is>
      </c>
    </row>
    <row r="23" ht="15" customHeight="1" s="38">
      <c r="A23" s="50" t="n">
        <v>22</v>
      </c>
      <c r="B23" s="50" t="n"/>
      <c r="C23" s="50" t="n"/>
      <c r="D23" s="50" t="n"/>
      <c r="E23" s="50" t="n"/>
      <c r="F23" s="50" t="n"/>
      <c r="G23" s="50" t="n"/>
      <c r="H23" s="50" t="n"/>
      <c r="I23" s="50" t="n"/>
      <c r="J23" s="50" t="n"/>
    </row>
    <row r="24" ht="15" customHeight="1" s="38">
      <c r="A24" s="50" t="n">
        <v>23</v>
      </c>
      <c r="B24" s="50" t="n"/>
      <c r="C24" s="50" t="n"/>
      <c r="D24" s="50" t="n"/>
      <c r="E24" s="50" t="n"/>
      <c r="F24" s="50" t="n"/>
      <c r="G24" s="50" t="n"/>
      <c r="H24" s="50" t="n"/>
      <c r="I24" s="50" t="n"/>
      <c r="J24" s="50" t="n"/>
    </row>
    <row r="25" ht="15" customHeight="1" s="38">
      <c r="A25" s="50" t="n">
        <v>24</v>
      </c>
      <c r="B25" s="50" t="n"/>
      <c r="C25" s="50" t="n"/>
      <c r="D25" s="50" t="n"/>
      <c r="E25" s="50" t="n"/>
      <c r="F25" s="50" t="n"/>
      <c r="G25" s="50" t="n"/>
      <c r="H25" s="50" t="n"/>
      <c r="I25" s="50" t="n"/>
      <c r="J25" s="50" t="n"/>
    </row>
    <row r="26" ht="15" customHeight="1" s="38">
      <c r="A26" s="50" t="n">
        <v>25</v>
      </c>
      <c r="B26" s="50" t="n"/>
      <c r="C26" s="50" t="n"/>
      <c r="D26" s="50" t="n"/>
      <c r="E26" s="50" t="n"/>
      <c r="F26" s="50" t="n"/>
      <c r="G26" s="50" t="n"/>
      <c r="H26" s="50" t="n"/>
      <c r="I26" s="50" t="n"/>
      <c r="J26" s="50" t="n"/>
    </row>
    <row r="27" ht="15" customHeight="1" s="38">
      <c r="A27" s="50" t="n">
        <v>26</v>
      </c>
      <c r="B27" s="50" t="n"/>
      <c r="C27" s="50" t="n"/>
      <c r="D27" s="50" t="n"/>
      <c r="E27" s="50" t="n"/>
      <c r="F27" s="50" t="n"/>
      <c r="G27" s="50" t="n"/>
      <c r="H27" s="50" t="n"/>
      <c r="I27" s="50" t="n"/>
      <c r="J27" s="50" t="n"/>
    </row>
    <row r="28" ht="15" customHeight="1" s="38">
      <c r="A28" s="50" t="n">
        <v>27</v>
      </c>
      <c r="B28" s="50" t="n"/>
      <c r="C28" s="50" t="n"/>
      <c r="D28" s="50" t="n"/>
      <c r="E28" s="50" t="n"/>
      <c r="F28" s="50" t="n"/>
      <c r="G28" s="50" t="n"/>
      <c r="H28" s="50" t="n"/>
      <c r="I28" s="50" t="n"/>
      <c r="J28" s="50" t="n"/>
    </row>
    <row r="29" ht="15" customHeight="1" s="38">
      <c r="A29" s="50" t="n">
        <v>28</v>
      </c>
      <c r="B29" s="50" t="n"/>
      <c r="C29" s="50" t="n"/>
      <c r="D29" s="50" t="n"/>
      <c r="E29" s="50" t="n"/>
      <c r="F29" s="50" t="n"/>
      <c r="G29" s="50" t="n"/>
      <c r="H29" s="50" t="n"/>
      <c r="I29" s="50" t="n"/>
      <c r="J29" s="50" t="n"/>
    </row>
    <row r="30" ht="15" customHeight="1" s="38">
      <c r="A30" s="50" t="n">
        <v>29</v>
      </c>
      <c r="B30" s="50" t="n"/>
      <c r="C30" s="50" t="n"/>
      <c r="D30" s="50" t="n"/>
      <c r="E30" s="50" t="n"/>
      <c r="F30" s="50" t="n"/>
      <c r="G30" s="50" t="n"/>
      <c r="H30" s="50" t="n"/>
      <c r="I30" s="50" t="n"/>
      <c r="J30" s="50" t="n"/>
    </row>
    <row r="31" ht="15" customHeight="1" s="38">
      <c r="A31" s="50" t="n">
        <v>30</v>
      </c>
      <c r="B31" s="50" t="n"/>
      <c r="C31" s="50" t="n"/>
      <c r="D31" s="50" t="n"/>
      <c r="E31" s="50" t="n"/>
      <c r="F31" s="50" t="n"/>
      <c r="G31" s="50" t="n"/>
      <c r="H31" s="50" t="n"/>
      <c r="I31" s="50" t="n"/>
      <c r="J31" s="50" t="n"/>
    </row>
    <row r="32" ht="15" customHeight="1" s="38">
      <c r="A32" s="50" t="n">
        <v>31</v>
      </c>
      <c r="B32" s="50" t="n"/>
      <c r="C32" s="50" t="n"/>
      <c r="D32" s="50" t="n"/>
      <c r="E32" s="50" t="n"/>
      <c r="F32" s="50" t="n"/>
      <c r="G32" s="50" t="n"/>
      <c r="H32" s="50" t="n"/>
      <c r="I32" s="50" t="n"/>
      <c r="J32" s="50" t="n"/>
    </row>
    <row r="33" ht="15" customHeight="1" s="38">
      <c r="A33" s="50" t="n">
        <v>32</v>
      </c>
      <c r="B33" s="50" t="n"/>
      <c r="C33" s="50" t="n"/>
      <c r="D33" s="50" t="n"/>
      <c r="E33" s="50" t="n"/>
      <c r="F33" s="50" t="n"/>
      <c r="G33" s="50" t="n"/>
      <c r="H33" s="50" t="n"/>
      <c r="I33" s="50" t="n"/>
      <c r="J33" s="50" t="n"/>
    </row>
    <row r="34" ht="15" customHeight="1" s="38">
      <c r="A34" s="50" t="n">
        <v>33</v>
      </c>
      <c r="B34" s="50" t="n"/>
      <c r="C34" s="50" t="n"/>
      <c r="D34" s="50" t="n"/>
      <c r="E34" s="50" t="n"/>
      <c r="F34" s="50" t="n"/>
      <c r="G34" s="50" t="n"/>
      <c r="H34" s="50" t="n"/>
      <c r="I34" s="50" t="n"/>
      <c r="J34" s="50" t="n"/>
    </row>
    <row r="35" ht="15" customHeight="1" s="38">
      <c r="A35" s="50" t="n">
        <v>34</v>
      </c>
      <c r="B35" s="50" t="n"/>
      <c r="C35" s="50" t="n"/>
      <c r="D35" s="50" t="n"/>
      <c r="E35" s="50" t="n"/>
      <c r="F35" s="50" t="n"/>
      <c r="G35" s="50" t="n"/>
      <c r="H35" s="50" t="n"/>
      <c r="I35" s="50" t="n"/>
      <c r="J35" s="50" t="n"/>
    </row>
    <row r="36" ht="15" customHeight="1" s="38">
      <c r="A36" s="50" t="n">
        <v>35</v>
      </c>
      <c r="B36" s="50" t="n"/>
      <c r="C36" s="50" t="n"/>
      <c r="D36" s="50" t="n"/>
      <c r="E36" s="50" t="n"/>
      <c r="F36" s="50" t="n"/>
      <c r="G36" s="50" t="n"/>
      <c r="H36" s="50" t="n"/>
      <c r="I36" s="50" t="n"/>
      <c r="J36" s="50" t="n"/>
    </row>
    <row r="37" ht="15" customHeight="1" s="38">
      <c r="A37" s="50" t="n">
        <v>36</v>
      </c>
      <c r="B37" s="50" t="n"/>
      <c r="C37" s="50" t="n"/>
      <c r="D37" s="50" t="n"/>
      <c r="E37" s="50" t="n"/>
      <c r="F37" s="50" t="n"/>
      <c r="G37" s="50" t="n"/>
      <c r="H37" s="50" t="n"/>
      <c r="I37" s="50" t="n"/>
      <c r="J37" s="50" t="n"/>
    </row>
    <row r="38" ht="15" customHeight="1" s="38">
      <c r="A38" s="50" t="n">
        <v>37</v>
      </c>
      <c r="B38" s="50" t="n"/>
      <c r="C38" s="50" t="n"/>
      <c r="D38" s="50" t="n"/>
      <c r="E38" s="50" t="n"/>
      <c r="F38" s="50" t="n"/>
      <c r="G38" s="50" t="n"/>
      <c r="H38" s="50" t="n"/>
      <c r="I38" s="50" t="n"/>
      <c r="J38" s="50" t="n"/>
    </row>
    <row r="39" ht="15" customHeight="1" s="38">
      <c r="A39" s="50" t="n">
        <v>38</v>
      </c>
      <c r="B39" s="50" t="n"/>
      <c r="C39" s="50" t="n"/>
      <c r="D39" s="50" t="n"/>
      <c r="E39" s="50" t="n"/>
      <c r="F39" s="50" t="n"/>
      <c r="G39" s="50" t="n"/>
      <c r="H39" s="50" t="n"/>
      <c r="I39" s="50" t="n"/>
      <c r="J39" s="50" t="n"/>
    </row>
    <row r="40" ht="15" customHeight="1" s="38">
      <c r="A40" s="50" t="n">
        <v>39</v>
      </c>
      <c r="B40" s="50" t="n"/>
      <c r="C40" s="50" t="n"/>
      <c r="D40" s="50" t="n"/>
      <c r="E40" s="50" t="n"/>
      <c r="F40" s="50" t="n"/>
      <c r="G40" s="50" t="n"/>
      <c r="H40" s="50" t="n"/>
      <c r="I40" s="50" t="n"/>
      <c r="J40" s="50" t="n"/>
    </row>
    <row r="41" ht="15" customHeight="1" s="38">
      <c r="A41" s="50" t="n">
        <v>40</v>
      </c>
      <c r="B41" s="50" t="n"/>
      <c r="C41" s="50" t="n"/>
      <c r="D41" s="50" t="n"/>
      <c r="E41" s="50" t="n"/>
      <c r="F41" s="50" t="n"/>
      <c r="G41" s="50" t="n"/>
      <c r="H41" s="50" t="n"/>
      <c r="I41" s="50" t="n"/>
      <c r="J41" s="50" t="n"/>
    </row>
    <row r="43" ht="15" customHeight="1" s="38">
      <c r="A43" s="44" t="inlineStr">
        <is>
          <t>Totals</t>
        </is>
      </c>
      <c r="B43" s="44">
        <f>COUNTA(B2:B41)</f>
        <v/>
      </c>
      <c r="H43" s="44">
        <f>COUNTIF(H2:H41,"Yes")</f>
        <v/>
      </c>
      <c r="I43" s="44">
        <f>COUNTIF(I2:I41,"Yes")</f>
        <v/>
      </c>
    </row>
    <row r="44" ht="15" customHeight="1" s="38">
      <c r="A44" s="45" t="inlineStr">
        <is>
          <t>(participants / paid / waivers)</t>
        </is>
      </c>
    </row>
  </sheetData>
  <dataValidations count="3">
    <dataValidation sqref="D2:D41" showDropDown="0" showInputMessage="0" showErrorMessage="0" allowBlank="1" type="list" errorStyle="stop" operator="between">
      <formula1>"Beginner,Intermediate,Advanced"</formula1>
      <formula2>0</formula2>
    </dataValidation>
    <dataValidation sqref="G2:G41" showDropDown="0" showInputMessage="0" showErrorMessage="0" allowBlank="1" type="list" errorStyle="stop" operator="between">
      <formula1>"Groms (under 8),Juniors (8-11),Seniors (12+)"</formula1>
      <formula2>0</formula2>
    </dataValidation>
    <dataValidation sqref="H2:I41" showDropDown="0" showInputMessage="0" showErrorMessage="0" allowBlank="1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7" activeCellId="0" sqref="A7"/>
    </sheetView>
  </sheetViews>
  <sheetFormatPr baseColWidth="8" defaultColWidth="8.66796875" defaultRowHeight="15" customHeight="0" zeroHeight="0" outlineLevelRow="0"/>
  <cols>
    <col width="18" customWidth="1" style="37" min="1" max="1"/>
    <col width="22" customWidth="1" style="37" min="2" max="2"/>
    <col width="14" customWidth="1" style="37" min="3" max="3"/>
    <col width="16" customWidth="1" style="37" min="4" max="4"/>
    <col width="13" customWidth="1" style="37" min="5" max="5"/>
    <col width="9" customWidth="1" style="37" min="6" max="6"/>
    <col width="18" customWidth="1" style="37" min="7" max="7"/>
    <col width="13" customWidth="1" style="37" min="8" max="8"/>
    <col width="30" customWidth="1" style="37" min="9" max="9"/>
    <col width="38" customWidth="1" style="37" min="10" max="10"/>
    <col width="22" customWidth="1" style="37" min="11" max="11"/>
  </cols>
  <sheetData>
    <row r="1" ht="31.5" customHeight="1" s="38">
      <c r="A1" s="39" t="inlineStr">
        <is>
          <t>Name</t>
        </is>
      </c>
      <c r="B1" s="39" t="inlineStr">
        <is>
          <t>Contact</t>
        </is>
      </c>
      <c r="C1" s="39" t="inlineStr">
        <is>
          <t>Available from</t>
        </is>
      </c>
      <c r="D1" s="39" t="inlineStr">
        <is>
          <t>Setup (pre-comp)</t>
        </is>
      </c>
      <c r="E1" s="39" t="inlineStr">
        <is>
          <t>Water push</t>
        </is>
      </c>
      <c r="F1" s="39" t="inlineStr">
        <is>
          <t>BBQ</t>
        </is>
      </c>
      <c r="G1" s="39" t="inlineStr">
        <is>
          <t>Sound / commentary</t>
        </is>
      </c>
      <c r="H1" s="39" t="inlineStr">
        <is>
          <t>Electricity</t>
        </is>
      </c>
      <c r="I1" s="39" t="inlineStr">
        <is>
          <t>Equipment / supplies</t>
        </is>
      </c>
      <c r="J1" s="39" t="inlineStr">
        <is>
          <t>Notes</t>
        </is>
      </c>
      <c r="K1" s="40" t="inlineStr">
        <is>
          <t>Shirt size (Kostumisé)</t>
        </is>
      </c>
    </row>
    <row r="2" ht="15" customHeight="1" s="38">
      <c r="A2" s="50" t="inlineStr">
        <is>
          <t>Chad Tyler</t>
        </is>
      </c>
      <c r="B2" s="50" t="n"/>
      <c r="C2" s="50" t="n"/>
      <c r="D2" s="51" t="n"/>
      <c r="E2" s="52" t="inlineStr">
        <is>
          <t>✓</t>
        </is>
      </c>
      <c r="F2" s="52" t="inlineStr">
        <is>
          <t>✓</t>
        </is>
      </c>
      <c r="G2" s="51" t="n"/>
      <c r="H2" s="51" t="n"/>
      <c r="I2" s="50" t="n"/>
      <c r="J2" s="50" t="inlineStr">
        <is>
          <t>Pushing kids into waves + BBQ duty</t>
        </is>
      </c>
      <c r="K2" s="53" t="inlineStr">
        <is>
          <t>TBD</t>
        </is>
      </c>
    </row>
    <row r="3" ht="15" customHeight="1" s="38">
      <c r="A3" s="50" t="inlineStr">
        <is>
          <t>Bron</t>
        </is>
      </c>
      <c r="B3" s="50" t="n"/>
      <c r="C3" s="50" t="n"/>
      <c r="D3" s="52" t="inlineStr">
        <is>
          <t>✓</t>
        </is>
      </c>
      <c r="E3" s="52" t="inlineStr">
        <is>
          <t>✓</t>
        </is>
      </c>
      <c r="F3" s="51" t="n"/>
      <c r="G3" s="51" t="n"/>
      <c r="H3" s="51" t="n"/>
      <c r="I3" s="50" t="n"/>
      <c r="J3" s="50" t="inlineStr">
        <is>
          <t>Setting up with Mark; in the water on the day</t>
        </is>
      </c>
      <c r="K3" s="53" t="inlineStr">
        <is>
          <t>TBD</t>
        </is>
      </c>
    </row>
    <row r="4" ht="15" customHeight="1" s="38">
      <c r="A4" s="50" t="inlineStr">
        <is>
          <t>Mark</t>
        </is>
      </c>
      <c r="B4" s="50" t="n"/>
      <c r="C4" s="50" t="n"/>
      <c r="D4" s="52" t="inlineStr">
        <is>
          <t>✓</t>
        </is>
      </c>
      <c r="E4" s="51" t="n"/>
      <c r="F4" s="51" t="n"/>
      <c r="G4" s="51" t="n"/>
      <c r="H4" s="51" t="n"/>
      <c r="I4" s="50" t="n"/>
      <c r="J4" s="50" t="inlineStr">
        <is>
          <t>Setting up with Bron</t>
        </is>
      </c>
      <c r="K4" s="53" t="inlineStr">
        <is>
          <t>TBD</t>
        </is>
      </c>
    </row>
    <row r="5" ht="23.25" customHeight="1" s="38">
      <c r="A5" s="50" t="inlineStr">
        <is>
          <t>Anaïs</t>
        </is>
      </c>
      <c r="B5" s="50" t="n"/>
      <c r="C5" s="50" t="inlineStr">
        <is>
          <t>11:30</t>
        </is>
      </c>
      <c r="D5" s="52" t="inlineStr">
        <is>
          <t>✓</t>
        </is>
      </c>
      <c r="E5" s="51" t="n"/>
      <c r="F5" s="51" t="n"/>
      <c r="G5" s="51" t="n"/>
      <c r="H5" s="51" t="n"/>
      <c r="I5" s="50" t="inlineStr">
        <is>
          <t>Folding table</t>
        </is>
      </c>
      <c r="J5" s="50" t="inlineStr">
        <is>
          <t>Available from 11:30; ask if anything else needed</t>
        </is>
      </c>
      <c r="K5" s="53" t="inlineStr">
        <is>
          <t>TBD</t>
        </is>
      </c>
    </row>
    <row r="6" ht="23.25" customHeight="1" s="38">
      <c r="A6" s="50" t="inlineStr">
        <is>
          <t>Kyrah</t>
        </is>
      </c>
      <c r="B6" s="50" t="n"/>
      <c r="C6" s="50" t="n"/>
      <c r="D6" s="51" t="inlineStr">
        <is>
          <t>✓</t>
        </is>
      </c>
      <c r="E6" s="51" t="n"/>
      <c r="F6" s="51" t="n"/>
      <c r="G6" s="51" t="n"/>
      <c r="H6" s="52" t="inlineStr">
        <is>
          <t>✓</t>
        </is>
      </c>
      <c r="I6" s="50" t="inlineStr">
        <is>
          <t>Power run from her front-row house ('Vans') · Bringing shader cloth + folding tables</t>
        </is>
      </c>
      <c r="J6" s="50" t="inlineStr">
        <is>
          <t>Running setup / teardown. Will also confirm water station with the neighbours.</t>
        </is>
      </c>
      <c r="K6" s="53" t="inlineStr">
        <is>
          <t>TBD</t>
        </is>
      </c>
    </row>
    <row r="7" ht="23.25" customHeight="1" s="38">
      <c r="A7" s="50" t="inlineStr">
        <is>
          <t>Adam</t>
        </is>
      </c>
      <c r="B7" s="50" t="n"/>
      <c r="C7" s="50" t="n"/>
      <c r="D7" s="51" t="n"/>
      <c r="E7" s="51" t="n"/>
      <c r="F7" s="51" t="n"/>
      <c r="G7" s="52" t="inlineStr">
        <is>
          <t>✓</t>
        </is>
      </c>
      <c r="H7" s="51" t="n"/>
      <c r="I7" s="50" t="inlineStr">
        <is>
          <t>DJI mic with Bluetooth (connects to speaker)</t>
        </is>
      </c>
      <c r="J7" s="50" t="inlineStr">
        <is>
          <t>Provides DJI mic with Bluetooth + speaker for sound. Need to discuss how to 'mix' mic + music with Andras. Sebastian is MC.</t>
        </is>
      </c>
      <c r="K7" s="53" t="inlineStr">
        <is>
          <t>TBD</t>
        </is>
      </c>
    </row>
    <row r="8" ht="15" customHeight="1" s="38">
      <c r="A8" s="50" t="inlineStr">
        <is>
          <t>Sebastian (Seb)</t>
        </is>
      </c>
      <c r="B8" s="50" t="inlineStr">
        <is>
          <t>5255 3322</t>
        </is>
      </c>
      <c r="C8" s="50" t="n"/>
      <c r="D8" s="51" t="n"/>
      <c r="E8" s="51" t="n"/>
      <c r="F8" s="51" t="n"/>
      <c r="G8" s="51" t="inlineStr">
        <is>
          <t>✓</t>
        </is>
      </c>
      <c r="H8" s="51" t="n"/>
      <c r="I8" s="50" t="n"/>
      <c r="J8" s="50" t="inlineStr">
        <is>
          <t>MC on the day (uses Adam's DJI mic + speaker). Kyrah's partner — also emergency contact for Tyler kids.</t>
        </is>
      </c>
      <c r="K8" s="49" t="inlineStr">
        <is>
          <t>TBD</t>
        </is>
      </c>
    </row>
    <row r="9" ht="15" customHeight="1" s="38">
      <c r="A9" s="50" t="inlineStr">
        <is>
          <t>Justyna</t>
        </is>
      </c>
      <c r="B9" s="50" t="inlineStr">
        <is>
          <t>700 25 775</t>
        </is>
      </c>
      <c r="C9" s="50" t="n"/>
      <c r="D9" s="51" t="n"/>
      <c r="E9" s="51" t="n"/>
      <c r="F9" s="51" t="n"/>
      <c r="G9" s="51" t="n"/>
      <c r="H9" s="51" t="n"/>
      <c r="I9" s="50" t="inlineStr">
        <is>
          <t>Camera, drone, social media</t>
        </is>
      </c>
      <c r="J9" s="50" t="inlineStr">
        <is>
          <t>Pics + drone + media coverage on the day. Also Alek &amp; Teo's mum.</t>
        </is>
      </c>
      <c r="K9" s="49" t="inlineStr">
        <is>
          <t>TBD</t>
        </is>
      </c>
    </row>
    <row r="10" ht="15" customHeight="1" s="38">
      <c r="A10" s="50" t="inlineStr">
        <is>
          <t>Trinity St Guillaume</t>
        </is>
      </c>
      <c r="B10" s="50" t="inlineStr">
        <is>
          <t>70104746 · trinitylauren93@gmail.com</t>
        </is>
      </c>
      <c r="C10" s="50" t="n"/>
      <c r="D10" s="51" t="inlineStr">
        <is>
          <t>✓</t>
        </is>
      </c>
      <c r="E10" s="52" t="n"/>
      <c r="F10" s="52" t="n"/>
      <c r="G10" s="51" t="n"/>
      <c r="H10" s="51" t="n"/>
      <c r="I10" s="50" t="n"/>
      <c r="J10" s="50" t="inlineStr">
        <is>
          <t>Offered to help with setup or teardown — flexible; Kyrah to assign slot via setup WhatsApp group. Also Holly's parent.</t>
        </is>
      </c>
      <c r="K10" s="53" t="inlineStr">
        <is>
          <t>TBD</t>
        </is>
      </c>
    </row>
    <row r="11" ht="15" customHeight="1" s="38">
      <c r="A11" s="50" t="inlineStr">
        <is>
          <t>Wikus Nel</t>
        </is>
      </c>
      <c r="B11" s="50" t="inlineStr">
        <is>
          <t>58424897 · +27834103430</t>
        </is>
      </c>
      <c r="C11" s="50" t="n"/>
      <c r="D11" s="51" t="n"/>
      <c r="E11" s="52" t="n"/>
      <c r="F11" s="52" t="n"/>
      <c r="G11" s="51" t="n"/>
      <c r="H11" s="51" t="n"/>
      <c r="I11" s="50" t="inlineStr">
        <is>
          <t>Weber BBQ to lend — Andras collecting &amp; returning</t>
        </is>
      </c>
      <c r="J11" s="50" t="inlineStr">
        <is>
          <t>Also Josua's father / Karia's emergency contact</t>
        </is>
      </c>
      <c r="K11" s="53" t="inlineStr">
        <is>
          <t>TBD</t>
        </is>
      </c>
    </row>
    <row r="12" ht="15" customHeight="1" s="38">
      <c r="A12" s="50" t="inlineStr">
        <is>
          <t>Tracy Loumeau (+ husband Pete)</t>
        </is>
      </c>
      <c r="B12" s="50" t="inlineStr">
        <is>
          <t>54890928 (Tracy) · 54890916 (Pete)</t>
        </is>
      </c>
      <c r="C12" s="50" t="n"/>
      <c r="D12" s="51" t="n"/>
      <c r="E12" s="52" t="n"/>
      <c r="F12" s="52" t="inlineStr">
        <is>
          <t>✓</t>
        </is>
      </c>
      <c r="G12" s="51" t="n"/>
      <c r="H12" s="51" t="n"/>
      <c r="I12" s="50" t="inlineStr">
        <is>
          <t>Whiteboard markers; checking work for a whiteboard</t>
        </is>
      </c>
      <c r="J12" s="50" t="inlineStr">
        <is>
          <t>Pete on BBQ duty (per Tracy's offer). Also Jaxon Webb's parents.</t>
        </is>
      </c>
      <c r="K12" s="53" t="inlineStr">
        <is>
          <t>TBD</t>
        </is>
      </c>
    </row>
    <row r="13" ht="15" customHeight="1" s="38">
      <c r="A13" s="50" t="inlineStr">
        <is>
          <t>Laila Datoo</t>
        </is>
      </c>
      <c r="B13" s="50" t="n"/>
      <c r="C13" s="50" t="n"/>
      <c r="D13" s="51" t="inlineStr">
        <is>
          <t>✓</t>
        </is>
      </c>
      <c r="E13" s="52" t="n"/>
      <c r="F13" s="52" t="n"/>
      <c r="G13" s="51" t="n"/>
      <c r="H13" s="51" t="n"/>
      <c r="I13" s="50" t="inlineStr">
        <is>
          <t>2 camping chairs · 1 cool box (with ice) · beach umbrella (possible shade pole) · fruit / cake snacks</t>
        </is>
      </c>
      <c r="J13" s="50" t="inlineStr">
        <is>
          <t>Confirmed for cleanup per Andras's roster</t>
        </is>
      </c>
      <c r="K13" s="53" t="inlineStr">
        <is>
          <t>TBD</t>
        </is>
      </c>
    </row>
    <row r="14" ht="15" customHeight="1" s="38">
      <c r="A14" s="50" t="inlineStr">
        <is>
          <t>Rulandi de Waal</t>
        </is>
      </c>
      <c r="B14" s="50" t="n"/>
      <c r="C14" s="50" t="n"/>
      <c r="D14" s="51" t="n"/>
      <c r="E14" s="52" t="n"/>
      <c r="F14" s="52" t="n"/>
      <c r="G14" s="51" t="n"/>
      <c r="H14" s="51" t="n"/>
      <c r="I14" s="50" t="inlineStr">
        <is>
          <t>Whiteboard donation</t>
        </is>
      </c>
      <c r="J14" s="50" t="inlineStr">
        <is>
          <t>Whiteboard available</t>
        </is>
      </c>
      <c r="K14" s="53" t="inlineStr">
        <is>
          <t>TBD</t>
        </is>
      </c>
    </row>
    <row r="15" ht="15" customHeight="1" s="38">
      <c r="A15" s="50" t="inlineStr">
        <is>
          <t>Karissa Nel</t>
        </is>
      </c>
      <c r="B15" s="50" t="inlineStr">
        <is>
          <t>58424945 · +27845833770 · karissa.nel@gmail.com</t>
        </is>
      </c>
      <c r="C15" s="50" t="n"/>
      <c r="D15" s="51" t="n"/>
      <c r="E15" s="52" t="n"/>
      <c r="F15" s="52" t="n"/>
      <c r="G15" s="51" t="n"/>
      <c r="H15" s="51" t="n"/>
      <c r="I15" s="50" t="inlineStr">
        <is>
          <t>4 camping chairs · 1 folding table · 1 cool box</t>
        </is>
      </c>
      <c r="J15" s="50" t="inlineStr">
        <is>
          <t>Also Josua &amp; Karia's mother</t>
        </is>
      </c>
      <c r="K15" s="53" t="inlineStr">
        <is>
          <t>TBD</t>
        </is>
      </c>
    </row>
    <row r="16" ht="15" customHeight="1" s="38">
      <c r="A16" s="50" t="inlineStr">
        <is>
          <t>Chantall</t>
        </is>
      </c>
      <c r="B16" s="50" t="n"/>
      <c r="C16" s="50" t="n"/>
      <c r="D16" s="51" t="n"/>
      <c r="E16" s="52" t="n"/>
      <c r="F16" s="52" t="n"/>
      <c r="G16" s="51" t="n"/>
      <c r="H16" s="51" t="n"/>
      <c r="I16" s="50" t="inlineStr">
        <is>
          <t>Massive whiteboard (going to Aileen post-event)</t>
        </is>
      </c>
      <c r="J16" s="50" t="inlineStr">
        <is>
          <t>Quick in / quick out — has another function to attend</t>
        </is>
      </c>
      <c r="K16" s="53" t="inlineStr">
        <is>
          <t>TBD</t>
        </is>
      </c>
    </row>
    <row r="17" ht="15" customHeight="1" s="38">
      <c r="A17" s="50" t="inlineStr">
        <is>
          <t>Ophelie Braga (Ihealcoaching)</t>
        </is>
      </c>
      <c r="B17" s="50" t="inlineStr">
        <is>
          <t>70467166</t>
        </is>
      </c>
      <c r="C17" s="50" t="n"/>
      <c r="D17" s="51" t="n"/>
      <c r="E17" s="52" t="n"/>
      <c r="F17" s="52" t="n"/>
      <c r="G17" s="51" t="n"/>
      <c r="H17" s="51" t="n"/>
      <c r="I17" s="50" t="inlineStr">
        <is>
          <t>Grapes + other snacks</t>
        </is>
      </c>
      <c r="J17" s="50" t="inlineStr">
        <is>
          <t>Offered help if needed. Also Alysia &amp; Ella Klein's emergency contact</t>
        </is>
      </c>
      <c r="K17" s="53" t="inlineStr">
        <is>
          <t>TBD</t>
        </is>
      </c>
    </row>
    <row r="18" ht="15" customHeight="1" s="38">
      <c r="A18" s="50" t="inlineStr">
        <is>
          <t>Theola Vlok</t>
        </is>
      </c>
      <c r="B18" s="50" t="inlineStr">
        <is>
          <t>5977 6564 · theolav82@gmail.com</t>
        </is>
      </c>
      <c r="C18" s="50" t="n"/>
      <c r="D18" s="51" t="n"/>
      <c r="E18" s="52" t="n"/>
      <c r="F18" s="52" t="inlineStr">
        <is>
          <t>✓</t>
        </is>
      </c>
      <c r="G18" s="51" t="n"/>
      <c r="H18" s="51" t="n"/>
      <c r="I18" s="50" t="inlineStr">
        <is>
          <t>BBQ + husband on BBQ duty · 2 camp tables · 1 cool box (with ice)</t>
        </is>
      </c>
      <c r="J18" s="50" t="inlineStr">
        <is>
          <t>Also doing pics; Emma-Jayne &amp; Marc-Emmanuel's mother</t>
        </is>
      </c>
      <c r="K18" s="53" t="inlineStr">
        <is>
          <t>TBD</t>
        </is>
      </c>
    </row>
    <row r="19" ht="15" customHeight="1" s="38">
      <c r="A19" s="50" t="inlineStr">
        <is>
          <t>Doribaba</t>
        </is>
      </c>
      <c r="B19" s="50" t="n"/>
      <c r="C19" s="50" t="n"/>
      <c r="D19" s="51" t="n"/>
      <c r="E19" s="52" t="n"/>
      <c r="F19" s="52" t="n"/>
      <c r="G19" s="51" t="n"/>
      <c r="H19" s="51" t="n"/>
      <c r="I19" s="50" t="inlineStr">
        <is>
          <t>Sausages + fresh baguettes (food) · water for kids · first aid kit (backup if no-one else)</t>
        </is>
      </c>
      <c r="J19" s="50" t="inlineStr">
        <is>
          <t>Co-organising with Andras</t>
        </is>
      </c>
      <c r="K19" s="53" t="inlineStr">
        <is>
          <t>TBD</t>
        </is>
      </c>
    </row>
    <row r="20">
      <c r="A20" s="50" t="inlineStr">
        <is>
          <t>Noah</t>
        </is>
      </c>
      <c r="B20" s="50" t="n"/>
      <c r="C20" s="50" t="n"/>
      <c r="D20" s="51" t="n"/>
      <c r="E20" s="52" t="n"/>
      <c r="F20" s="52" t="n"/>
      <c r="G20" s="51" t="n"/>
      <c r="H20" s="51" t="n"/>
      <c r="I20" s="50" t="n"/>
      <c r="J20" s="50" t="inlineStr">
        <is>
          <t>Judging panel</t>
        </is>
      </c>
      <c r="K20" s="53" t="inlineStr">
        <is>
          <t>TBD</t>
        </is>
      </c>
    </row>
    <row r="21" ht="15" customHeight="1" s="38">
      <c r="A21" s="50" t="inlineStr">
        <is>
          <t>Noé</t>
        </is>
      </c>
      <c r="B21" s="50" t="n"/>
      <c r="C21" s="50" t="n"/>
      <c r="D21" s="51" t="n"/>
      <c r="E21" s="52" t="n"/>
      <c r="F21" s="52" t="n"/>
      <c r="G21" s="51" t="n"/>
      <c r="H21" s="51" t="n"/>
      <c r="I21" s="50" t="n"/>
      <c r="J21" s="50" t="inlineStr">
        <is>
          <t>Judging panel</t>
        </is>
      </c>
      <c r="K21" s="53" t="inlineStr">
        <is>
          <t>TBD</t>
        </is>
      </c>
    </row>
    <row r="22">
      <c r="A22" s="50" t="inlineStr">
        <is>
          <t>Caleb</t>
        </is>
      </c>
      <c r="B22" s="50" t="n"/>
      <c r="C22" s="50" t="n"/>
      <c r="D22" s="51" t="n"/>
      <c r="E22" s="52" t="n"/>
      <c r="F22" s="52" t="n"/>
      <c r="G22" s="51" t="n"/>
      <c r="H22" s="51" t="n"/>
      <c r="I22" s="50" t="n"/>
      <c r="J22" s="50" t="inlineStr">
        <is>
          <t>Judging panel</t>
        </is>
      </c>
      <c r="K22" s="53" t="inlineStr">
        <is>
          <t>TBD</t>
        </is>
      </c>
    </row>
    <row r="23">
      <c r="A23" s="50" t="inlineStr">
        <is>
          <t>Quentin</t>
        </is>
      </c>
      <c r="B23" s="50" t="n"/>
      <c r="C23" s="50" t="n"/>
      <c r="D23" s="51" t="n"/>
      <c r="E23" s="52" t="n"/>
      <c r="F23" s="52" t="n"/>
      <c r="G23" s="51" t="n"/>
      <c r="H23" s="51" t="n"/>
      <c r="I23" s="50" t="n"/>
      <c r="J23" s="50" t="inlineStr">
        <is>
          <t>Instructing the judging</t>
        </is>
      </c>
      <c r="K23" s="53" t="inlineStr">
        <is>
          <t>TBD</t>
        </is>
      </c>
    </row>
    <row r="30">
      <c r="A30" s="54" t="inlineStr">
        <is>
          <t>People covering</t>
        </is>
      </c>
      <c r="B30" s="54" t="n"/>
      <c r="C30" s="54" t="n"/>
      <c r="D30" s="54">
        <f>COUNTIF(D2:D29,"✓")</f>
        <v/>
      </c>
      <c r="E30" s="54">
        <f>COUNTIF(E2:E29,"✓")</f>
        <v/>
      </c>
      <c r="F30" s="54">
        <f>COUNTIF(F2:F29,"✓")</f>
        <v/>
      </c>
      <c r="G30" s="54">
        <f>COUNTIF(G2:G29,"✓")</f>
        <v/>
      </c>
      <c r="H30" s="54">
        <f>COUNTIF(H2:H29,"✓")</f>
        <v/>
      </c>
      <c r="I30" s="54" t="n"/>
      <c r="J30" s="54" t="n"/>
      <c r="K30" s="54" t="n"/>
    </row>
  </sheetData>
  <dataValidations count="1">
    <dataValidation sqref="D2:H19" showDropDown="0" showInputMessage="0" showErrorMessage="0" allowBlank="1" type="list" errorStyle="stop" operator="between">
      <formula1>"✓,Maybe,"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customHeight="0" zeroHeight="0" outlineLevelRow="0"/>
  <cols>
    <col width="90" customWidth="1" style="37" min="1" max="1"/>
  </cols>
  <sheetData>
    <row r="1" ht="17.25" customHeight="1" s="38">
      <c r="A1" s="55" t="inlineStr">
        <is>
          <t>Open items</t>
        </is>
      </c>
    </row>
    <row r="2" ht="15" customHeight="1" s="38">
      <c r="A2" s="56" t="n"/>
    </row>
    <row r="3" ht="27.75" customHeight="1" s="38">
      <c r="A3" s="57" t="inlineStr">
        <is>
          <t>DECIDED</t>
        </is>
      </c>
    </row>
    <row r="4" ht="27.75" customHeight="1" s="38">
      <c r="A4" s="58" t="inlineStr">
        <is>
          <t>• Setup kicks off at 11:30.</t>
        </is>
      </c>
    </row>
    <row r="5" ht="27.75" customHeight="1" s="38">
      <c r="A5" s="58" t="inlineStr">
        <is>
          <t>• Site: 'other side of the river', power from front-row house 'Vans' (Kyrah's).</t>
        </is>
      </c>
    </row>
    <row r="6" ht="27.75" customHeight="1" s="38">
      <c r="A6" s="58" t="inlineStr">
        <is>
          <t>• Kyrah running setup / teardown coordination — bringing shader cloth + folding tables. WhatsApp group active for setup/teardown helpers.</t>
        </is>
      </c>
    </row>
    <row r="7" ht="27.75" customHeight="1" s="38">
      <c r="A7" s="58" t="inlineStr">
        <is>
          <t>• Sebastian (Seb) confirmed for MC — using Adam's DJI mic + speaker.</t>
        </is>
      </c>
    </row>
    <row r="8" ht="27.75" customHeight="1" s="38">
      <c r="A8" s="58" t="inlineStr">
        <is>
          <t>• Justyna confirmed for pics, drone &amp; media coverage. Theola also doing pics.</t>
        </is>
      </c>
    </row>
    <row r="9" ht="27.75" customHeight="1" s="38">
      <c r="A9" s="59" t="inlineStr">
        <is>
          <t>• Judging panel confirmed: Noah, Noé, Caleb — Quentin instructing.</t>
        </is>
      </c>
    </row>
    <row r="10" ht="15" customHeight="1" s="38">
      <c r="A10" s="56" t="inlineStr">
        <is>
          <t>• Laila confirmed for cleanup.</t>
        </is>
      </c>
    </row>
    <row r="11" ht="15" customHeight="1" s="38">
      <c r="A11" s="37" t="inlineStr">
        <is>
          <t>• Food: Doribaba/Andras providing sausages + fresh baguettes; water for kids organised. Adults BYO beverages.</t>
        </is>
      </c>
    </row>
    <row r="12" ht="15" customHeight="1" s="38">
      <c r="A12" s="37" t="inlineStr">
        <is>
          <t>• Whiteboards sorted: Rulandi donating one; Chantall donating massive one (going to Aileen post-event). Tracy bringing markers.</t>
        </is>
      </c>
    </row>
    <row r="13" ht="15" customHeight="1" s="38">
      <c r="A13" s="56" t="inlineStr">
        <is>
          <t>• Chairs: 6 confirmed (Laila 2 + Karissa 4).</t>
        </is>
      </c>
    </row>
    <row r="14" ht="15" customHeight="1" s="38">
      <c r="A14" s="37" t="inlineStr">
        <is>
          <t>• Cool boxes: 3 confirmed and to arrive filled with ice (Laila + Karissa + Theola).</t>
        </is>
      </c>
    </row>
    <row r="15" ht="15" customHeight="1" s="38">
      <c r="A15" s="37" t="inlineStr">
        <is>
          <t>• Folding tables: ~4 confirmed (Anaïs 1 + Karissa 1 + Theola 2 + Kyrah's).</t>
        </is>
      </c>
    </row>
    <row r="16" ht="15" customHeight="1" s="38">
      <c r="A16" s="37" t="n"/>
    </row>
    <row r="17" ht="15" customHeight="1" s="38">
      <c r="A17" s="55" t="inlineStr">
        <is>
          <t>CONTINGENCY</t>
        </is>
      </c>
    </row>
    <row r="18" ht="15" customHeight="1" s="38">
      <c r="A18" s="56" t="inlineStr">
        <is>
          <t>• If conditions are bad on Saturday, may shift to Sunday — Andras to make the call, holding off until necessary.</t>
        </is>
      </c>
    </row>
    <row r="19" ht="15" customHeight="1" s="38">
      <c r="A19" s="37" t="n"/>
    </row>
    <row r="20" ht="15" customHeight="1" s="38">
      <c r="A20" s="55" t="inlineStr">
        <is>
          <t>STILL OPEN</t>
        </is>
      </c>
    </row>
    <row r="21">
      <c r="A21" s="37" t="inlineStr">
        <is>
          <t>• Long poles for shade: have 2 (Andras's pool-net pole + Laila's beach umbrella) — still need ~2 more 2.5m+ poles.</t>
        </is>
      </c>
    </row>
    <row r="22" ht="15" customHeight="1" s="38">
      <c r="A22" s="56" t="inlineStr">
        <is>
          <t>• BBQ grill: Wikus lending his Weber — Andras handling pickup &amp; drop-off. Theola also offering a BBQ.</t>
        </is>
      </c>
    </row>
    <row r="23" ht="15" customHeight="1" s="38">
      <c r="A23" s="37" t="inlineStr">
        <is>
          <t>• BBQ duty: Chad confirmed; Tracy's husband + Theola's husband also offered — coordinate.</t>
        </is>
      </c>
    </row>
    <row r="24" ht="15" customHeight="1" s="38">
      <c r="A24" s="37" t="inlineStr">
        <is>
          <t>• Mic / sound mixing — discuss with Adam how to mix mic + music through the speaker.</t>
        </is>
      </c>
    </row>
    <row r="25">
      <c r="A25" s="37" t="inlineStr">
        <is>
          <t>• First aid kit — Doribaba will bring as backup, but better if someone else has a proper one.</t>
        </is>
      </c>
    </row>
    <row r="26" ht="15" customHeight="1" s="38">
      <c r="A26" s="56" t="inlineStr">
        <is>
          <t>• Ice packs for injuries — nobody yet (Doribaba lost theirs).</t>
        </is>
      </c>
    </row>
    <row r="27" ht="15" customHeight="1" s="38">
      <c r="A27" s="37" t="inlineStr">
        <is>
          <t>• Water station — Kyrah to confirm with the neighbours.</t>
        </is>
      </c>
    </row>
    <row r="28" ht="15" customHeight="1" s="38">
      <c r="A28" s="37" t="inlineStr">
        <is>
          <t>• Prizes + certificates — who's organising? (not yet raised with helpers)</t>
        </is>
      </c>
    </row>
    <row r="29">
      <c r="A29" s="37" t="inlineStr">
        <is>
          <t>• Heat schedule / judging sheet — Andras to draft if no-one's started; share with Quentin/judges.</t>
        </is>
      </c>
    </row>
    <row r="30">
      <c r="A30" s="37" t="inlineStr">
        <is>
          <t>• More healthy snacks to share — open call (Laila bringing fruit/cake, Ophelie bringing grapes).</t>
        </is>
      </c>
    </row>
    <row r="32">
      <c r="A32" s="54" t="inlineStr">
        <is>
          <t>REGISTRATIONS</t>
        </is>
      </c>
    </row>
    <row r="33">
      <c r="A33" s="37" t="inlineStr">
        <is>
          <t>• Jaxon Webb registration RECEIVED (25 May) — paid, waiver signed, photo consent, no allergies. Email not provided.</t>
        </is>
      </c>
    </row>
    <row r="34">
      <c r="A34" s="37" t="inlineStr">
        <is>
          <t>• 7 kids unpaid: Elijah, Ezrah, Skye (Tyler family) · Emma-Jayne, Marc-Emmanuel (Vlok family) · Josua, Karia (Nel family).</t>
        </is>
      </c>
    </row>
    <row r="36">
      <c r="A36" s="54" t="inlineStr">
        <is>
          <t>T-SHIRTS</t>
        </is>
      </c>
    </row>
    <row r="37">
      <c r="A37" s="37" t="inlineStr">
        <is>
          <t>• Collect helper t-shirt sizes (Adult S/M/L/XL) for: Chad, Bron, Mark, Anaïs, Kyrah, Adam, Sebastian, Justyna, Trinity, Wikus, Tracy (+husband), Laila, Rulandi, Karissa, Chantall, Ophelie, Theola, Doribaba, Noah, Noé, Caleb, Quentin.</t>
        </is>
      </c>
    </row>
    <row r="38">
      <c r="A38" s="37" t="inlineStr">
        <is>
          <t>• Alek Niescierowicz (age 7) ticked XL → size 12 — confirm with Justyna whether intentional or a tick error.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4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17" activeCellId="0" sqref="E17"/>
    </sheetView>
  </sheetViews>
  <sheetFormatPr baseColWidth="8" defaultColWidth="8.66796875" defaultRowHeight="15" customHeight="0" zeroHeight="0" outlineLevelRow="0"/>
  <cols>
    <col width="22" customWidth="1" style="37" min="1" max="1"/>
    <col width="44" customWidth="1" style="37" min="2" max="2"/>
    <col width="10" customWidth="1" style="37" min="3" max="3"/>
    <col width="14" customWidth="1" style="37" min="4" max="4"/>
    <col width="18" customWidth="1" style="37" min="5" max="5"/>
  </cols>
  <sheetData>
    <row r="1" ht="17.25" customHeight="1" s="38">
      <c r="A1" s="60" t="inlineStr">
        <is>
          <t>Sunset Duckies — competition order list</t>
        </is>
      </c>
    </row>
    <row r="2" ht="15" customHeight="1" s="38">
      <c r="A2" s="61" t="inlineStr">
        <is>
          <t>Sizes per Kostumisé kids' chart (4 / 6 / 8 / 10 / 12 / 14). Bigger size chosen where in doubt.</t>
        </is>
      </c>
    </row>
    <row r="4" ht="15" customHeight="1" s="38">
      <c r="A4" s="62" t="inlineStr">
        <is>
          <t>Item</t>
        </is>
      </c>
      <c r="B4" s="62" t="inlineStr">
        <is>
          <t>Variant / notes</t>
        </is>
      </c>
      <c r="C4" s="63" t="inlineStr">
        <is>
          <t>Qty</t>
        </is>
      </c>
      <c r="D4" s="62" t="inlineStr">
        <is>
          <t>Unit (MUR)</t>
        </is>
      </c>
      <c r="E4" s="62" t="inlineStr">
        <is>
          <t>Subtotal (MUR)</t>
        </is>
      </c>
    </row>
    <row r="5" ht="15" customHeight="1" s="38">
      <c r="A5" s="64" t="inlineStr">
        <is>
          <t>T-shirts — kids</t>
        </is>
      </c>
      <c r="B5" s="65" t="n"/>
      <c r="C5" s="66" t="n"/>
      <c r="D5" s="65" t="n"/>
      <c r="E5" s="65" t="n"/>
    </row>
    <row r="6" ht="15" customHeight="1" s="38">
      <c r="A6" s="67" t="inlineStr">
        <is>
          <t>T-shirt kid</t>
        </is>
      </c>
      <c r="B6" s="67" t="inlineStr">
        <is>
          <t>Kostumisé size 4</t>
        </is>
      </c>
      <c r="C6" s="68">
        <f>COUNTIF(Participants!K2:K41,"4")</f>
        <v/>
      </c>
      <c r="D6" s="69" t="n">
        <v>475</v>
      </c>
      <c r="E6" s="69">
        <f>C6*D6</f>
        <v/>
      </c>
    </row>
    <row r="7" ht="15" customHeight="1" s="38">
      <c r="A7" s="67" t="inlineStr">
        <is>
          <t>T-shirt kid</t>
        </is>
      </c>
      <c r="B7" s="67" t="inlineStr">
        <is>
          <t>Kostumisé size 6</t>
        </is>
      </c>
      <c r="C7" s="68">
        <f>COUNTIF(Participants!K2:K41,"6")</f>
        <v/>
      </c>
      <c r="D7" s="69" t="n">
        <v>475</v>
      </c>
      <c r="E7" s="69">
        <f>C7*D7</f>
        <v/>
      </c>
    </row>
    <row r="8" ht="15" customHeight="1" s="38">
      <c r="A8" s="67" t="inlineStr">
        <is>
          <t>T-shirt kid</t>
        </is>
      </c>
      <c r="B8" s="67" t="inlineStr">
        <is>
          <t>Kostumisé size 8</t>
        </is>
      </c>
      <c r="C8" s="68">
        <f>COUNTIF(Participants!K2:K41,"8")</f>
        <v/>
      </c>
      <c r="D8" s="69" t="n">
        <v>475</v>
      </c>
      <c r="E8" s="69">
        <f>C8*D8</f>
        <v/>
      </c>
    </row>
    <row r="9" ht="15" customHeight="1" s="38">
      <c r="A9" s="67" t="inlineStr">
        <is>
          <t>T-shirt kid</t>
        </is>
      </c>
      <c r="B9" s="67" t="inlineStr">
        <is>
          <t>Kostumisé size 10</t>
        </is>
      </c>
      <c r="C9" s="68">
        <f>COUNTIF(Participants!K2:K41,"10")</f>
        <v/>
      </c>
      <c r="D9" s="69" t="n">
        <v>475</v>
      </c>
      <c r="E9" s="69">
        <f>C9*D9</f>
        <v/>
      </c>
    </row>
    <row r="10" ht="15" customHeight="1" s="38">
      <c r="A10" s="67" t="inlineStr">
        <is>
          <t>T-shirt kid</t>
        </is>
      </c>
      <c r="B10" s="67" t="inlineStr">
        <is>
          <t>Kostumisé size 12</t>
        </is>
      </c>
      <c r="C10" s="68">
        <f>COUNTIF(Participants!K2:K41,"12")</f>
        <v/>
      </c>
      <c r="D10" s="69" t="n">
        <v>475</v>
      </c>
      <c r="E10" s="69">
        <f>C10*D10</f>
        <v/>
      </c>
    </row>
    <row r="11" ht="15" customHeight="1" s="38">
      <c r="A11" s="67" t="inlineStr">
        <is>
          <t>T-shirt kid</t>
        </is>
      </c>
      <c r="B11" s="67" t="inlineStr">
        <is>
          <t>Kostumisé size 14</t>
        </is>
      </c>
      <c r="C11" s="68">
        <f>COUNTIF(Participants!K2:K41,"14")</f>
        <v/>
      </c>
      <c r="D11" s="69" t="n">
        <v>475</v>
      </c>
      <c r="E11" s="69">
        <f>C11*D11</f>
        <v/>
      </c>
    </row>
    <row r="12" ht="15" customHeight="1" s="38">
      <c r="A12" s="67" t="inlineStr">
        <is>
          <t>T-shirt kid</t>
        </is>
      </c>
      <c r="B12" s="70" t="inlineStr">
        <is>
          <t>TBD — size not yet mapped</t>
        </is>
      </c>
      <c r="C12" s="68">
        <f>COUNTA(Participants!B2:B41)-SUM(C6:C11)</f>
        <v/>
      </c>
      <c r="D12" s="69" t="n">
        <v>475</v>
      </c>
      <c r="E12" s="69">
        <f>C12*D12</f>
        <v/>
      </c>
    </row>
    <row r="13" ht="15" customHeight="1" s="38">
      <c r="A13" s="71" t="inlineStr">
        <is>
          <t>Kids t-shirts — subtotal</t>
        </is>
      </c>
      <c r="B13" s="71" t="inlineStr">
        <is>
          <t>All kids on register</t>
        </is>
      </c>
      <c r="C13" s="72">
        <f>SUM(C6:C12)</f>
        <v/>
      </c>
      <c r="D13" s="67" t="n"/>
      <c r="E13" s="73">
        <f>SUM(E6:E12)</f>
        <v/>
      </c>
    </row>
    <row r="14" ht="15" customHeight="1" s="38">
      <c r="A14" s="67" t="n"/>
      <c r="B14" s="67" t="n"/>
      <c r="C14" s="68" t="n"/>
      <c r="D14" s="67" t="n"/>
      <c r="E14" s="67" t="n"/>
    </row>
    <row r="15" ht="15" customHeight="1" s="38">
      <c r="A15" s="64" t="inlineStr">
        <is>
          <t>T-shirts — helpers</t>
        </is>
      </c>
      <c r="B15" s="65" t="n"/>
      <c r="C15" s="66" t="n"/>
      <c r="D15" s="65" t="n"/>
      <c r="E15" s="65" t="n"/>
    </row>
    <row r="16" ht="15" customHeight="1" s="38">
      <c r="A16" s="67" t="inlineStr">
        <is>
          <t>T-shirt adult</t>
        </is>
      </c>
      <c r="B16" s="67" t="inlineStr">
        <is>
          <t>Adult S</t>
        </is>
      </c>
      <c r="C16" s="68">
        <f>COUNTIF(Helpers!K2:K29,"Adult S")</f>
        <v/>
      </c>
      <c r="D16" s="69" t="n">
        <v>475</v>
      </c>
      <c r="E16" s="69">
        <f>C16*D16</f>
        <v/>
      </c>
    </row>
    <row r="17" ht="15" customHeight="1" s="38">
      <c r="A17" s="67" t="inlineStr">
        <is>
          <t>T-shirt adult</t>
        </is>
      </c>
      <c r="B17" s="67" t="inlineStr">
        <is>
          <t>Adult M</t>
        </is>
      </c>
      <c r="C17" s="68">
        <f>COUNTIF(Helpers!K2:K29,"Adult M")</f>
        <v/>
      </c>
      <c r="D17" s="69" t="n">
        <v>475</v>
      </c>
      <c r="E17" s="69">
        <f>C17*D17</f>
        <v/>
      </c>
    </row>
    <row r="18" ht="15" customHeight="1" s="38">
      <c r="A18" s="67" t="inlineStr">
        <is>
          <t>T-shirt adult</t>
        </is>
      </c>
      <c r="B18" s="67" t="inlineStr">
        <is>
          <t>Adult L</t>
        </is>
      </c>
      <c r="C18" s="68">
        <f>COUNTIF(Helpers!K2:K29,"Adult L")</f>
        <v/>
      </c>
      <c r="D18" s="69" t="n">
        <v>475</v>
      </c>
      <c r="E18" s="69">
        <f>C18*D18</f>
        <v/>
      </c>
    </row>
    <row r="19" ht="15" customHeight="1" s="38">
      <c r="A19" s="67" t="inlineStr">
        <is>
          <t>T-shirt adult</t>
        </is>
      </c>
      <c r="B19" s="67" t="inlineStr">
        <is>
          <t>Adult XL</t>
        </is>
      </c>
      <c r="C19" s="68">
        <f>COUNTIF(Helpers!K2:K29,"Adult XL")</f>
        <v/>
      </c>
      <c r="D19" s="69" t="n">
        <v>475</v>
      </c>
      <c r="E19" s="69">
        <f>C19*D19</f>
        <v/>
      </c>
    </row>
    <row r="20" ht="15" customHeight="1" s="38">
      <c r="A20" s="67" t="inlineStr">
        <is>
          <t>T-shirt adult</t>
        </is>
      </c>
      <c r="B20" s="70" t="inlineStr">
        <is>
          <t>TBD — size not yet on file</t>
        </is>
      </c>
      <c r="C20" s="68">
        <f>COUNTA(Helpers!A2:A29)-SUM(C16:C19)</f>
        <v/>
      </c>
      <c r="D20" s="69" t="n">
        <v>475</v>
      </c>
      <c r="E20" s="69">
        <f>C20*D20</f>
        <v/>
      </c>
    </row>
    <row r="21" ht="15" customHeight="1" s="38">
      <c r="A21" s="71" t="inlineStr">
        <is>
          <t>Helper t-shirts — subtotal</t>
        </is>
      </c>
      <c r="B21" s="71" t="inlineStr">
        <is>
          <t>All helpers on roster</t>
        </is>
      </c>
      <c r="C21" s="72">
        <f>SUM(C16:C20)</f>
        <v/>
      </c>
      <c r="D21" s="67" t="n"/>
      <c r="E21" s="73">
        <f>SUM(E16:E20)</f>
        <v/>
      </c>
    </row>
    <row r="22" ht="15" customHeight="1" s="38">
      <c r="A22" s="67" t="n"/>
      <c r="B22" s="67" t="n"/>
      <c r="C22" s="68" t="n"/>
      <c r="D22" s="67" t="n"/>
      <c r="E22" s="67" t="n"/>
    </row>
    <row r="23" ht="15" customHeight="1" s="38">
      <c r="A23" s="64" t="inlineStr">
        <is>
          <t>Helper gifts</t>
        </is>
      </c>
      <c r="B23" s="65" t="n"/>
      <c r="C23" s="66" t="n"/>
      <c r="D23" s="65" t="n"/>
      <c r="E23" s="65" t="n"/>
    </row>
    <row r="24" ht="15" customHeight="1" s="38">
      <c r="A24" s="67" t="inlineStr">
        <is>
          <t>Bottle opener</t>
        </is>
      </c>
      <c r="B24" s="67" t="inlineStr">
        <is>
          <t>Helper gift option A</t>
        </is>
      </c>
      <c r="C24" s="68" t="n">
        <v>3</v>
      </c>
      <c r="D24" s="69" t="n">
        <v>110</v>
      </c>
      <c r="E24" s="69">
        <f>C24*D24</f>
        <v/>
      </c>
    </row>
    <row r="25" ht="15" customHeight="1" s="38">
      <c r="A25" s="67" t="inlineStr">
        <is>
          <t>Keychain</t>
        </is>
      </c>
      <c r="B25" s="67" t="inlineStr">
        <is>
          <t>Helper gift option B</t>
        </is>
      </c>
      <c r="C25" s="68" t="n">
        <v>3</v>
      </c>
      <c r="D25" s="69" t="n">
        <v>100</v>
      </c>
      <c r="E25" s="69">
        <f>C25*D25</f>
        <v/>
      </c>
    </row>
    <row r="26" ht="15" customHeight="1" s="38">
      <c r="A26" s="67" t="n"/>
      <c r="B26" s="71" t="inlineStr">
        <is>
          <t>Helpers in roster:</t>
        </is>
      </c>
      <c r="C26" s="72">
        <f>COUNTA(Helpers!A2:A29)</f>
        <v/>
      </c>
      <c r="D26" s="67" t="n"/>
      <c r="E26" s="67" t="n"/>
    </row>
    <row r="27" ht="15" customHeight="1" s="38">
      <c r="A27" s="67" t="n"/>
      <c r="B27" s="67" t="n"/>
      <c r="C27" s="68" t="n"/>
      <c r="D27" s="67" t="n"/>
      <c r="E27" s="67" t="n"/>
    </row>
    <row r="28" ht="15" customHeight="1" s="38">
      <c r="A28" s="64" t="inlineStr">
        <is>
          <t>Team gear</t>
        </is>
      </c>
      <c r="B28" s="65" t="n"/>
      <c r="C28" s="66" t="n"/>
      <c r="D28" s="65" t="n"/>
      <c r="E28" s="65" t="n"/>
    </row>
    <row r="29" ht="15" customHeight="1" s="38">
      <c r="A29" s="67" t="inlineStr">
        <is>
          <t>Hat — pink</t>
        </is>
      </c>
      <c r="B29" s="67" t="n"/>
      <c r="C29" s="68" t="n">
        <v>4</v>
      </c>
      <c r="D29" s="69" t="n">
        <v>375</v>
      </c>
      <c r="E29" s="69">
        <f>C29*D29</f>
        <v/>
      </c>
    </row>
    <row r="30" ht="15" customHeight="1" s="38">
      <c r="A30" s="67" t="inlineStr">
        <is>
          <t>Hat — white</t>
        </is>
      </c>
      <c r="B30" s="67" t="n"/>
      <c r="C30" s="68" t="n">
        <v>3</v>
      </c>
      <c r="D30" s="69" t="n">
        <v>375</v>
      </c>
      <c r="E30" s="69">
        <f>C30*D30</f>
        <v/>
      </c>
    </row>
    <row r="31" ht="15" customHeight="1" s="38">
      <c r="A31" s="67" t="inlineStr">
        <is>
          <t>Hat — black</t>
        </is>
      </c>
      <c r="B31" s="67" t="n"/>
      <c r="C31" s="68" t="n">
        <v>3</v>
      </c>
      <c r="D31" s="69" t="n">
        <v>375</v>
      </c>
      <c r="E31" s="69">
        <f>C31*D31</f>
        <v/>
      </c>
    </row>
    <row r="32" ht="15" customHeight="1" s="38">
      <c r="A32" s="71" t="inlineStr">
        <is>
          <t>Hats — subtotal</t>
        </is>
      </c>
      <c r="B32" s="71" t="inlineStr">
        <is>
          <t>10 hats total</t>
        </is>
      </c>
      <c r="C32" s="72">
        <f>SUM(C29:C31)</f>
        <v/>
      </c>
      <c r="D32" s="67" t="n"/>
      <c r="E32" s="73">
        <f>SUM(E29:E31)</f>
        <v/>
      </c>
    </row>
    <row r="33" ht="15" customHeight="1" s="38">
      <c r="A33" s="67" t="inlineStr">
        <is>
          <t>Towel</t>
        </is>
      </c>
      <c r="B33" s="67" t="n"/>
      <c r="C33" s="68" t="n">
        <v>4</v>
      </c>
      <c r="D33" s="69" t="n">
        <v>395</v>
      </c>
      <c r="E33" s="69">
        <f>C33*D33</f>
        <v/>
      </c>
    </row>
    <row r="34" ht="15" customHeight="1" s="38">
      <c r="A34" s="67" t="n"/>
      <c r="B34" s="67" t="n"/>
      <c r="C34" s="68" t="n"/>
      <c r="D34" s="67" t="n"/>
      <c r="E34" s="67" t="n"/>
    </row>
    <row r="35" ht="15" customHeight="1" s="38">
      <c r="A35" s="74" t="inlineStr">
        <is>
          <t>GRAND TOTAL</t>
        </is>
      </c>
      <c r="B35" s="75" t="n"/>
      <c r="C35" s="76" t="n"/>
      <c r="D35" s="75" t="n"/>
      <c r="E35" s="77">
        <f>E13+E21+E24+E25+SUM(E29:E31)+E33</f>
        <v/>
      </c>
    </row>
    <row r="37" ht="15" customHeight="1" s="38">
      <c r="A37" s="40" t="inlineStr">
        <is>
          <t>Notes</t>
        </is>
      </c>
    </row>
    <row r="38" ht="15" customHeight="1" s="38">
      <c r="A38" s="61" t="inlineStr">
        <is>
          <t>• Kids' size = supplier number from Kostumisé chart. Standard map: XS→4, S→6, M→8, L→10, XL→12. Karia (adult S) → 14.</t>
        </is>
      </c>
    </row>
    <row r="39" ht="15" customHeight="1" s="38">
      <c r="A39" s="61" t="inlineStr">
        <is>
          <t>• Bumps applied: Holly (age 11, L ticked → 12), Marc-Emmanuel (age 7, S ticked → 8). Reason: age sits above ticked range.</t>
        </is>
      </c>
    </row>
    <row r="40" ht="15" customHeight="1" s="38">
      <c r="A40" s="61" t="inlineStr">
        <is>
          <t>• Alek (age 7) marked XL → size 12 as ticked, but worth a quick confirm with Justyna — unusually large for his age.</t>
        </is>
      </c>
    </row>
    <row r="41" ht="15" customHeight="1" s="38">
      <c r="A41" s="61" t="inlineStr">
        <is>
          <t>• Helper t-shirts: sizes not yet captured. Update Helpers!K with Adult S/M/L/XL per helper and totals will recompute.</t>
        </is>
      </c>
    </row>
    <row r="42" ht="15" customHeight="1" s="38">
      <c r="A42" s="61" t="inlineStr">
        <is>
          <t>• Helper gift split (opener/keychain) and hat colour split editable; all totals recalc automatically.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style="38" min="1" max="1"/>
    <col width="30" customWidth="1" style="38" min="2" max="2"/>
    <col width="14" customWidth="1" style="38" min="3" max="3"/>
    <col width="50" customWidth="1" style="38" min="4" max="4"/>
    <col width="4" customWidth="1" style="38" min="5" max="5"/>
  </cols>
  <sheetData>
    <row r="1">
      <c r="A1" s="78" t="inlineStr">
        <is>
          <t>Sunset Duckies — shopping list (event day)</t>
        </is>
      </c>
    </row>
    <row r="2">
      <c r="A2" s="79" t="inlineStr">
        <is>
          <t>Food for 20 kids + 6 helpers (~26 people). Everyone else brings their own.</t>
        </is>
      </c>
    </row>
    <row r="4">
      <c r="A4" s="80" t="inlineStr">
        <is>
          <t>Item (EN)</t>
        </is>
      </c>
      <c r="B4" s="80" t="inlineStr">
        <is>
          <t>Item (HU)</t>
        </is>
      </c>
      <c r="C4" s="80" t="inlineStr">
        <is>
          <t>Qty</t>
        </is>
      </c>
      <c r="D4" s="80" t="inlineStr">
        <is>
          <t>Notes</t>
        </is>
      </c>
      <c r="E4" s="80" t="inlineStr">
        <is>
          <t>✓</t>
        </is>
      </c>
    </row>
    <row r="5">
      <c r="A5" s="81" t="inlineStr">
        <is>
          <t>— BBQ &amp; MAINS —</t>
        </is>
      </c>
      <c r="B5" s="81" t="n"/>
      <c r="C5" s="81" t="n"/>
      <c r="D5" s="81" t="n"/>
      <c r="E5" s="81" t="n"/>
    </row>
    <row r="6">
      <c r="A6" s="37" t="inlineStr">
        <is>
          <t>Sausages — pork (small / cocktail size)</t>
        </is>
      </c>
      <c r="B6" s="37" t="inlineStr">
        <is>
          <t>Kolbász (sertés, kisebb méret)</t>
        </is>
      </c>
      <c r="C6" s="37" t="inlineStr">
        <is>
          <t>~32</t>
        </is>
      </c>
      <c r="D6" s="37" t="inlineStr">
        <is>
          <t>Smaller / cocktail size — 2 per person planning</t>
        </is>
      </c>
    </row>
    <row r="7">
      <c r="A7" s="37" t="inlineStr">
        <is>
          <t>Sausages — Halal chicken/beef (small)</t>
        </is>
      </c>
      <c r="B7" s="37" t="inlineStr">
        <is>
          <t>Kolbász (csirke/marha, kisebb méret) — Halal</t>
        </is>
      </c>
      <c r="C7" s="37" t="inlineStr">
        <is>
          <t>~20</t>
        </is>
      </c>
      <c r="D7" s="37" t="inlineStr">
        <is>
          <t>Smaller / cocktail size — non-pork option, 2 per person planning</t>
        </is>
      </c>
    </row>
    <row r="8">
      <c r="A8" s="37" t="inlineStr">
        <is>
          <t>Baguette</t>
        </is>
      </c>
      <c r="B8" s="37" t="inlineStr">
        <is>
          <t>Baguette</t>
        </is>
      </c>
      <c r="C8" s="37" t="inlineStr">
        <is>
          <t>~30</t>
        </is>
      </c>
      <c r="D8" s="37" t="inlineStr">
        <is>
          <t>~1 per person, cut in half — each half holds a small sausage</t>
        </is>
      </c>
    </row>
    <row r="9">
      <c r="A9" s="37" t="inlineStr">
        <is>
          <t>Iceberg lettuce</t>
        </is>
      </c>
      <c r="B9" s="37" t="inlineStr">
        <is>
          <t>Jégsaláta</t>
        </is>
      </c>
      <c r="C9" s="37" t="inlineStr">
        <is>
          <t>2 heads</t>
        </is>
      </c>
      <c r="D9" s="37" t="inlineStr">
        <is>
          <t>Topping</t>
        </is>
      </c>
    </row>
    <row r="10">
      <c r="A10" s="37" t="inlineStr">
        <is>
          <t>Fried / crispy onions</t>
        </is>
      </c>
      <c r="B10" s="37" t="inlineStr">
        <is>
          <t>Pirított hagyma</t>
        </is>
      </c>
      <c r="C10" s="37" t="inlineStr">
        <is>
          <t>2 packs</t>
        </is>
      </c>
      <c r="D10" s="37" t="inlineStr">
        <is>
          <t>Topping</t>
        </is>
      </c>
    </row>
    <row r="11">
      <c r="A11" s="37" t="inlineStr">
        <is>
          <t>Briquettes (charcoal)</t>
        </is>
      </c>
      <c r="B11" s="37" t="inlineStr">
        <is>
          <t>Brikett</t>
        </is>
      </c>
      <c r="C11" s="37" t="inlineStr">
        <is>
          <t>1–2 bags</t>
        </is>
      </c>
      <c r="D11" s="37" t="inlineStr">
        <is>
          <t>For the BBQ</t>
        </is>
      </c>
    </row>
    <row r="12">
      <c r="A12" s="81" t="inlineStr">
        <is>
          <t>— CONDIMENTS —</t>
        </is>
      </c>
      <c r="B12" s="81" t="n"/>
      <c r="C12" s="81" t="n"/>
      <c r="D12" s="81" t="n"/>
      <c r="E12" s="81" t="n"/>
    </row>
    <row r="13">
      <c r="A13" s="37" t="inlineStr">
        <is>
          <t>Ketchup</t>
        </is>
      </c>
      <c r="B13" s="37" t="inlineStr">
        <is>
          <t>Ketchup</t>
        </is>
      </c>
      <c r="C13" s="37" t="inlineStr">
        <is>
          <t>1–2 bottles</t>
        </is>
      </c>
    </row>
    <row r="14">
      <c r="A14" s="37" t="inlineStr">
        <is>
          <t>Mayonnaise</t>
        </is>
      </c>
      <c r="B14" s="37" t="inlineStr">
        <is>
          <t>Majonéz</t>
        </is>
      </c>
      <c r="C14" s="37" t="inlineStr">
        <is>
          <t>1 bottle</t>
        </is>
      </c>
    </row>
    <row r="15">
      <c r="A15" s="37" t="inlineStr">
        <is>
          <t>Mustard</t>
        </is>
      </c>
      <c r="B15" s="37" t="inlineStr">
        <is>
          <t>Mustár</t>
        </is>
      </c>
      <c r="C15" s="37" t="inlineStr">
        <is>
          <t>1 bottle</t>
        </is>
      </c>
    </row>
    <row r="16">
      <c r="A16" s="81" t="inlineStr">
        <is>
          <t>— DRINKS &amp; FRUIT —</t>
        </is>
      </c>
      <c r="B16" s="81" t="n"/>
      <c r="C16" s="81" t="n"/>
      <c r="D16" s="81" t="n"/>
      <c r="E16" s="81" t="n"/>
    </row>
    <row r="17">
      <c r="A17" s="37" t="inlineStr">
        <is>
          <t>Water</t>
        </is>
      </c>
      <c r="B17" s="37" t="inlineStr">
        <is>
          <t>Víz</t>
        </is>
      </c>
      <c r="C17" s="37" t="inlineStr">
        <is>
          <t>10–12 × 1.5 L</t>
        </is>
      </c>
      <c r="D17" s="37" t="inlineStr">
        <is>
          <t>Doribaba also bringing water for kids</t>
        </is>
      </c>
    </row>
    <row r="18">
      <c r="A18" s="37" t="inlineStr">
        <is>
          <t>Oranges</t>
        </is>
      </c>
      <c r="B18" s="37" t="inlineStr">
        <is>
          <t>Narancs</t>
        </is>
      </c>
      <c r="C18" s="37" t="inlineStr">
        <is>
          <t>3 bags</t>
        </is>
      </c>
      <c r="D18" s="37" t="inlineStr">
        <is>
          <t>As per original list</t>
        </is>
      </c>
    </row>
    <row r="19">
      <c r="A19" s="37" t="inlineStr">
        <is>
          <t>Lemons</t>
        </is>
      </c>
      <c r="B19" s="37" t="inlineStr">
        <is>
          <t>Citrom</t>
        </is>
      </c>
      <c r="C19" s="37" t="inlineStr">
        <is>
          <t>2 bags</t>
        </is>
      </c>
      <c r="D19" s="37" t="inlineStr">
        <is>
          <t>As per original list</t>
        </is>
      </c>
    </row>
    <row r="20">
      <c r="A20" s="37" t="inlineStr">
        <is>
          <t>Apples</t>
        </is>
      </c>
      <c r="B20" s="37" t="inlineStr">
        <is>
          <t>Alma</t>
        </is>
      </c>
      <c r="C20" s="37" t="inlineStr">
        <is>
          <t>4 bags</t>
        </is>
      </c>
      <c r="D20" s="37" t="inlineStr">
        <is>
          <t>As per original list</t>
        </is>
      </c>
    </row>
    <row r="21">
      <c r="A21" s="81" t="inlineStr">
        <is>
          <t>— PAPER GOODS —</t>
        </is>
      </c>
      <c r="B21" s="81" t="n"/>
      <c r="C21" s="81" t="n"/>
      <c r="D21" s="81" t="n"/>
      <c r="E21" s="81" t="n"/>
    </row>
    <row r="22">
      <c r="A22" s="37" t="inlineStr">
        <is>
          <t>Paper plates</t>
        </is>
      </c>
      <c r="B22" s="37" t="inlineStr">
        <is>
          <t>Papírtányér</t>
        </is>
      </c>
      <c r="C22" s="37" t="inlineStr">
        <is>
          <t>~40</t>
        </is>
      </c>
      <c r="D22" s="37" t="inlineStr">
        <is>
          <t>1.5× people</t>
        </is>
      </c>
    </row>
    <row r="23">
      <c r="A23" s="37" t="inlineStr">
        <is>
          <t>Paper cups</t>
        </is>
      </c>
      <c r="B23" s="37" t="inlineStr">
        <is>
          <t>Papírpohár</t>
        </is>
      </c>
      <c r="C23" s="37" t="inlineStr">
        <is>
          <t>~50</t>
        </is>
      </c>
      <c r="D23" s="37" t="inlineStr">
        <is>
          <t>2× people</t>
        </is>
      </c>
    </row>
    <row r="24">
      <c r="A24" s="37" t="inlineStr">
        <is>
          <t>Paper towel rolls</t>
        </is>
      </c>
      <c r="B24" s="37" t="inlineStr">
        <is>
          <t>Papírtörlő (konyhai)</t>
        </is>
      </c>
      <c r="C24" s="37" t="inlineStr">
        <is>
          <t>2–3 rolls</t>
        </is>
      </c>
      <c r="D24" s="37" t="inlineStr">
        <is>
          <t>Replaces napkins — easier on a windy beach</t>
        </is>
      </c>
    </row>
    <row r="25">
      <c r="A25" s="37" t="inlineStr">
        <is>
          <t>Trash bags</t>
        </is>
      </c>
      <c r="B25" s="37" t="inlineStr">
        <is>
          <t>Szemeteszsák</t>
        </is>
      </c>
      <c r="C25" s="37" t="inlineStr">
        <is>
          <t>1 pack</t>
        </is>
      </c>
      <c r="D25" s="37" t="inlineStr">
        <is>
          <t>For teardown / cleanup with Laila</t>
        </is>
      </c>
    </row>
    <row r="26">
      <c r="A26" s="81" t="inlineStr">
        <is>
          <t>— EASY-TO-FORGET —</t>
        </is>
      </c>
      <c r="B26" s="81" t="n"/>
      <c r="C26" s="81" t="n"/>
      <c r="D26" s="81" t="n"/>
      <c r="E26" s="81" t="n"/>
    </row>
    <row r="27">
      <c r="A27" s="37" t="inlineStr">
        <is>
          <t>Lighter / matches</t>
        </is>
      </c>
      <c r="B27" s="37" t="inlineStr">
        <is>
          <t>Öngyújtó / gyufa</t>
        </is>
      </c>
      <c r="C27" s="37" t="inlineStr">
        <is>
          <t>1–2</t>
        </is>
      </c>
      <c r="D27" s="37" t="inlineStr">
        <is>
          <t>For the BBQ</t>
        </is>
      </c>
    </row>
    <row r="28">
      <c r="A28" s="37" t="inlineStr">
        <is>
          <t>Aluminium foil</t>
        </is>
      </c>
      <c r="B28" s="37" t="inlineStr">
        <is>
          <t>Alufólia</t>
        </is>
      </c>
      <c r="C28" s="37" t="inlineStr">
        <is>
          <t>1 roll</t>
        </is>
      </c>
      <c r="D28" s="37" t="inlineStr">
        <is>
          <t>Wrapping baguettes, keeping food warm</t>
        </is>
      </c>
    </row>
    <row r="29">
      <c r="A29" s="37" t="inlineStr">
        <is>
          <t>Bread knife / cutting board</t>
        </is>
      </c>
      <c r="B29" s="37" t="inlineStr">
        <is>
          <t>Kenyérvágó kés / vágódeszka</t>
        </is>
      </c>
      <c r="C29" s="37" t="inlineStr">
        <is>
          <t>1 each</t>
        </is>
      </c>
      <c r="D29" s="37" t="inlineStr">
        <is>
          <t>For the baguettes</t>
        </is>
      </c>
    </row>
    <row r="30">
      <c r="A30" s="37" t="inlineStr">
        <is>
          <t>Tongs / BBQ spatula</t>
        </is>
      </c>
      <c r="B30" s="37" t="inlineStr">
        <is>
          <t>Grillcsipesz / lapát</t>
        </is>
      </c>
      <c r="C30" s="37" t="inlineStr">
        <is>
          <t>1 each</t>
        </is>
      </c>
      <c r="D30" s="37" t="inlineStr">
        <is>
          <t>Check whether Wikus's Weber comes with</t>
        </is>
      </c>
    </row>
    <row r="32">
      <c r="A32" s="81" t="inlineStr">
        <is>
          <t>— DIETARY (special needs) —</t>
        </is>
      </c>
      <c r="B32" s="81" t="n"/>
      <c r="C32" s="81" t="n"/>
      <c r="D32" s="81" t="n"/>
      <c r="E32" s="81" t="n"/>
    </row>
    <row r="33">
      <c r="A33" s="82" t="inlineStr">
        <is>
          <t>Veggie sausages</t>
        </is>
      </c>
      <c r="B33" s="82" t="inlineStr">
        <is>
          <t>Vegetáriánus kolbász</t>
        </is>
      </c>
      <c r="C33" s="82" t="inlineStr">
        <is>
          <t>3–4 (small)</t>
        </is>
      </c>
      <c r="D33" s="82" t="inlineStr">
        <is>
          <t>For Ella Klein (vegetarian) + spares; same small size</t>
        </is>
      </c>
      <c r="E33" s="82" t="n"/>
    </row>
    <row r="34">
      <c r="A34" s="82" t="inlineStr">
        <is>
          <t>Gluten-free rolls / buns</t>
        </is>
      </c>
      <c r="B34" s="82" t="inlineStr">
        <is>
          <t>Gluténmentes zsemle</t>
        </is>
      </c>
      <c r="C34" s="82" t="inlineStr">
        <is>
          <t>3–4</t>
        </is>
      </c>
      <c r="D34" s="82" t="inlineStr">
        <is>
          <t>For Holly St Guillaume (celiac) — baguette has gluten</t>
        </is>
      </c>
      <c r="E34" s="82" t="n"/>
    </row>
    <row r="35">
      <c r="A35" s="82" t="inlineStr">
        <is>
          <t>Gluten-free condiment check</t>
        </is>
      </c>
      <c r="B35" s="82" t="inlineStr">
        <is>
          <t>GM-ellenőrzés a szószokon</t>
        </is>
      </c>
      <c r="C35" s="82" t="inlineStr">
        <is>
          <t>—</t>
        </is>
      </c>
      <c r="D35" s="82" t="inlineStr">
        <is>
          <t>Most ketchup/mustard are GF but check labels for Holly</t>
        </is>
      </c>
      <c r="E35" s="8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2026-05-18T07:01:05Z</dcterms:created>
  <dcterms:modified xmlns:dcterms="http://purl.org/dc/terms/" xmlns:xsi="http://www.w3.org/2001/XMLSchema-instance" xsi:type="dcterms:W3CDTF">2026-05-29T08:08:59Z</dcterms:modified>
  <cp:lastModifiedBy>Andras Hejj</cp:lastModifiedBy>
  <cp:revision>0</cp:revision>
</cp:coreProperties>
</file>